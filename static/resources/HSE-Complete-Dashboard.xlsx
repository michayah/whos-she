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TUP" sheetId="1" r:id="rId1"/>
    <sheet name="🚨 INCIDENTS" sheetId="2" r:id="rId2"/>
    <sheet name="🔍 INSPECTIONS" sheetId="3" r:id="rId3"/>
    <sheet name="📚 TRAINING" sheetId="4" r:id="rId4"/>
    <sheet name="⚡ ACTIONS" sheetId="5" r:id="rId5"/>
    <sheet name="⚠ RISK REGISTER" sheetId="6" r:id="rId6"/>
    <sheet name="🌿 ENVIRONMENT" sheetId="7" r:id="rId7"/>
    <sheet name="📊 DASHBOARD" sheetId="8" r:id="rId8"/>
    <sheet name="📌 INSTRUCTIONS" sheetId="9" r:id="rId9"/>
  </sheets>
  <calcPr calcId="124519" fullCalcOnLoad="1"/>
</workbook>
</file>

<file path=xl/sharedStrings.xml><?xml version="1.0" encoding="utf-8"?>
<sst xmlns="http://schemas.openxmlformats.org/spreadsheetml/2006/main" count="620" uniqueCount="284">
  <si>
    <t>Departments</t>
  </si>
  <si>
    <t>Operations</t>
  </si>
  <si>
    <t>Engineering</t>
  </si>
  <si>
    <t>Administration</t>
  </si>
  <si>
    <t>Maintenance</t>
  </si>
  <si>
    <t>Quality</t>
  </si>
  <si>
    <t>HR</t>
  </si>
  <si>
    <t>Finance</t>
  </si>
  <si>
    <t>Management</t>
  </si>
  <si>
    <t>HSE</t>
  </si>
  <si>
    <t>Contractors</t>
  </si>
  <si>
    <t>Locations</t>
  </si>
  <si>
    <t>Warehouse</t>
  </si>
  <si>
    <t>Production Floor</t>
  </si>
  <si>
    <t>Office</t>
  </si>
  <si>
    <t>Workshop</t>
  </si>
  <si>
    <t>Laboratory</t>
  </si>
  <si>
    <t>Yard</t>
  </si>
  <si>
    <t>Site A</t>
  </si>
  <si>
    <t>Site B</t>
  </si>
  <si>
    <t>IncTypes</t>
  </si>
  <si>
    <t>Near Miss</t>
  </si>
  <si>
    <t>First Aid</t>
  </si>
  <si>
    <t>Medical Treatment</t>
  </si>
  <si>
    <t>Recordable</t>
  </si>
  <si>
    <t>Lost Time Injury</t>
  </si>
  <si>
    <t>Property Damage</t>
  </si>
  <si>
    <t>Fatality</t>
  </si>
  <si>
    <t>Environmental</t>
  </si>
  <si>
    <t>Severity</t>
  </si>
  <si>
    <t>Minor</t>
  </si>
  <si>
    <t>Moderate</t>
  </si>
  <si>
    <t>Major</t>
  </si>
  <si>
    <t>Critical</t>
  </si>
  <si>
    <t>Fatal</t>
  </si>
  <si>
    <t>Status</t>
  </si>
  <si>
    <t>Open</t>
  </si>
  <si>
    <t>In Progress</t>
  </si>
  <si>
    <t>Closed</t>
  </si>
  <si>
    <t>Done</t>
  </si>
  <si>
    <t>Overdue</t>
  </si>
  <si>
    <t>Priority</t>
  </si>
  <si>
    <t>Low</t>
  </si>
  <si>
    <t>Medium</t>
  </si>
  <si>
    <t>High</t>
  </si>
  <si>
    <t>TrainType</t>
  </si>
  <si>
    <t>Induction</t>
  </si>
  <si>
    <t>Refresher</t>
  </si>
  <si>
    <t>Toolbox Talk</t>
  </si>
  <si>
    <t>Certification</t>
  </si>
  <si>
    <t>E-Learning</t>
  </si>
  <si>
    <t>Sources</t>
  </si>
  <si>
    <t>Incident</t>
  </si>
  <si>
    <t>Inspection</t>
  </si>
  <si>
    <t>Audit</t>
  </si>
  <si>
    <t>Management Review</t>
  </si>
  <si>
    <t>Regulatory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</si>
  <si>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</si>
  <si>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</si>
  <si>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</si>
  <si>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</si>
  <si>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</si>
  <si>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</si>
  <si>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</si>
  <si>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</si>
  <si>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</si>
  <si>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</si>
  <si>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</si>
  <si>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</si>
  <si>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</si>
  <si>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Years</t>
  </si>
  <si>
    <t>All</t>
  </si>
  <si>
    <t>MonthsAll</t>
  </si>
  <si>
    <t>LikCon</t>
  </si>
  <si>
    <t>YesNo</t>
  </si>
  <si>
    <t>Yes</t>
  </si>
  <si>
    <t>No</t>
  </si>
  <si>
    <t>CtrlEffect</t>
  </si>
  <si>
    <t>InspTypes</t>
  </si>
  <si>
    <t>General Safety</t>
  </si>
  <si>
    <t>Fire Safety</t>
  </si>
  <si>
    <t>Electrical</t>
  </si>
  <si>
    <t>Chemical Handling</t>
  </si>
  <si>
    <t>Emergency Equipment</t>
  </si>
  <si>
    <t>PPE Compliance</t>
  </si>
  <si>
    <t>Housekeeping</t>
  </si>
  <si>
    <t>DeptsAll</t>
  </si>
  <si>
    <t>LocsAll</t>
  </si>
  <si>
    <t>🚨  INCIDENT MANAGEMENT LOG</t>
  </si>
  <si>
    <t>#</t>
  </si>
  <si>
    <t>Date</t>
  </si>
  <si>
    <t>Description</t>
  </si>
  <si>
    <t>Type</t>
  </si>
  <si>
    <t>Location</t>
  </si>
  <si>
    <t>Department</t>
  </si>
  <si>
    <t>Reported By</t>
  </si>
  <si>
    <t>Actions Required</t>
  </si>
  <si>
    <t>Closed Date</t>
  </si>
  <si>
    <t>_Year</t>
  </si>
  <si>
    <t>_Month</t>
  </si>
  <si>
    <t>Slip on wet floor — main corridor</t>
  </si>
  <si>
    <t>J. Adeyemi</t>
  </si>
  <si>
    <t>Anti-slip mats installed</t>
  </si>
  <si>
    <t>Near miss — forklift/pedestrian</t>
  </si>
  <si>
    <t>A. Bello</t>
  </si>
  <si>
    <t>Forklift route segregated</t>
  </si>
  <si>
    <t>Chemical spill — 5L solvent</t>
  </si>
  <si>
    <t>M. Okafor</t>
  </si>
  <si>
    <t>Spill procedure revised</t>
  </si>
  <si>
    <t>Fall from ladder — fracture</t>
  </si>
  <si>
    <t>C. Ibrahim</t>
  </si>
  <si>
    <t>Ladder inspection programme</t>
  </si>
  <si>
    <t>Eye irritation — cutting fluid</t>
  </si>
  <si>
    <t>T. Nwosu</t>
  </si>
  <si>
    <t>Splash goggles mandatory</t>
  </si>
  <si>
    <t>Unsecured scaffolding near-miss</t>
  </si>
  <si>
    <t>R. Mensah</t>
  </si>
  <si>
    <t>Scaffolding checklist updated</t>
  </si>
  <si>
    <t>Struck by falling object</t>
  </si>
  <si>
    <t>K. Eze</t>
  </si>
  <si>
    <t>Hard hat area expanded</t>
  </si>
  <si>
    <t>🔍  INSPECTION RECORDS</t>
  </si>
  <si>
    <t>Inspector</t>
  </si>
  <si>
    <t>Score %</t>
  </si>
  <si>
    <t>Findings</t>
  </si>
  <si>
    <t>Next Due</t>
  </si>
  <si>
    <t>Good housekeeping throughout</t>
  </si>
  <si>
    <t>Repair racking unit bay 3</t>
  </si>
  <si>
    <t>All extinguishers charged</t>
  </si>
  <si>
    <t>None</t>
  </si>
  <si>
    <t>J. Eze</t>
  </si>
  <si>
    <t>Minor cable trays exposed</t>
  </si>
  <si>
    <t>Label and secure cables</t>
  </si>
  <si>
    <t>T. Ibrahim</t>
  </si>
  <si>
    <t>Spill kit complete</t>
  </si>
  <si>
    <t>Check bund drainage quarterly</t>
  </si>
  <si>
    <t>C. Adeyemi</t>
  </si>
  <si>
    <t>98% compliance observed</t>
  </si>
  <si>
    <t>One worker counselled</t>
  </si>
  <si>
    <t>Aisle blockages found</t>
  </si>
  <si>
    <t>Clear storage lanes — urgent</t>
  </si>
  <si>
    <t>📚  TRAINING RECORDS</t>
  </si>
  <si>
    <t>Employee</t>
  </si>
  <si>
    <t>Course</t>
  </si>
  <si>
    <t>Due Date</t>
  </si>
  <si>
    <t>Completion Date</t>
  </si>
  <si>
    <t>Auto-Status</t>
  </si>
  <si>
    <t>Certificate</t>
  </si>
  <si>
    <t>A. Ibrahim</t>
  </si>
  <si>
    <t>Fire Safety Awareness</t>
  </si>
  <si>
    <t>B. Adeyemi</t>
  </si>
  <si>
    <t>Manual Handling</t>
  </si>
  <si>
    <t>C. Okonkwo</t>
  </si>
  <si>
    <t>Electrical Safety</t>
  </si>
  <si>
    <t>D. Bello</t>
  </si>
  <si>
    <t>E. Mensah</t>
  </si>
  <si>
    <t>Induction — Site Rules</t>
  </si>
  <si>
    <t>F. Nwosu</t>
  </si>
  <si>
    <t>Emergency Evacuation</t>
  </si>
  <si>
    <t>G. Eze</t>
  </si>
  <si>
    <t>ISO 45001 Awareness</t>
  </si>
  <si>
    <t>⚡  ACTIONS LOG</t>
  </si>
  <si>
    <t>Source</t>
  </si>
  <si>
    <t>Assigned To</t>
  </si>
  <si>
    <t>% Complete</t>
  </si>
  <si>
    <t>Days Overdue</t>
  </si>
  <si>
    <t>Comments</t>
  </si>
  <si>
    <t>Install anti-slip mats in Warehouse</t>
  </si>
  <si>
    <t>Revise chemical spill response procedure</t>
  </si>
  <si>
    <t>Implement forklift/pedestrian route segregation</t>
  </si>
  <si>
    <t>Conduct ladder safety refresher training</t>
  </si>
  <si>
    <t>Update COSHH register for all chemicals</t>
  </si>
  <si>
    <t>Pending</t>
  </si>
  <si>
    <t>Install additional emergency lighting — Yard</t>
  </si>
  <si>
    <t>⚠  RISK REGISTER</t>
  </si>
  <si>
    <t>Hazard</t>
  </si>
  <si>
    <t>Likelihood</t>
  </si>
  <si>
    <t>Consequence</t>
  </si>
  <si>
    <t>Risk Score</t>
  </si>
  <si>
    <t>Risk Level</t>
  </si>
  <si>
    <t>Controls</t>
  </si>
  <si>
    <t>Res. Likelihood</t>
  </si>
  <si>
    <t>Res. Consequence</t>
  </si>
  <si>
    <t>Res. Score</t>
  </si>
  <si>
    <t>Res. Level</t>
  </si>
  <si>
    <t>Owner</t>
  </si>
  <si>
    <t>Next Review</t>
  </si>
  <si>
    <t>Residual Score</t>
  </si>
  <si>
    <t>Residual Level</t>
  </si>
  <si>
    <t>Working at height — ladders</t>
  </si>
  <si>
    <t>Regular inspection; buddy system</t>
  </si>
  <si>
    <t>Forklift operation near people</t>
  </si>
  <si>
    <t>Route barriers; pedestrian training</t>
  </si>
  <si>
    <t>Chemical storage — solvents</t>
  </si>
  <si>
    <t>COSHH assessments; ventilation installed</t>
  </si>
  <si>
    <t>Electrical panel maintenance</t>
  </si>
  <si>
    <t>Permit to work; isolation procedure</t>
  </si>
  <si>
    <t>Slip/trip — wet surfaces</t>
  </si>
  <si>
    <t>Non-slip flooring; wet floor signs</t>
  </si>
  <si>
    <t>Manual handling — heavy boxes</t>
  </si>
  <si>
    <t>Training; team lifting policy</t>
  </si>
  <si>
    <t>Noise exposure — machinery</t>
  </si>
  <si>
    <t>Ear defenders mandatory; signage</t>
  </si>
  <si>
    <t>Vehicle movement — yard</t>
  </si>
  <si>
    <t>Speed limits; banksmen required</t>
  </si>
  <si>
    <t>🌿  ENVIRONMENTAL PERFORMANCE</t>
  </si>
  <si>
    <t>Month</t>
  </si>
  <si>
    <t>Year</t>
  </si>
  <si>
    <t>Waste Recycled (kg)</t>
  </si>
  <si>
    <t>Waste Landfill (kg)</t>
  </si>
  <si>
    <t>Recycle %</t>
  </si>
  <si>
    <t>Carbon (MWh)</t>
  </si>
  <si>
    <t>Diesel (L)</t>
  </si>
  <si>
    <t>Water (m³)</t>
  </si>
  <si>
    <t>Spills</t>
  </si>
  <si>
    <t>CO Incidents</t>
  </si>
  <si>
    <t>Notes</t>
  </si>
  <si>
    <t>Minor solvent spill — contained</t>
  </si>
  <si>
    <t>CO alarm triggered — HVAC fault</t>
  </si>
  <si>
    <t>COMPLETE HSE DASHBOARD</t>
  </si>
  <si>
    <t>Safety Mic — HSE thinking for the Nigerian workplace</t>
  </si>
  <si>
    <t>LIVE</t>
  </si>
  <si>
    <t>📅  YEAR</t>
  </si>
  <si>
    <t>📆  MONTH</t>
  </si>
  <si>
    <t>🏢  DEPARTMENT</t>
  </si>
  <si>
    <t>📍  LOCATION</t>
  </si>
  <si>
    <t>👥</t>
  </si>
  <si>
    <t>Total Incidents</t>
  </si>
  <si>
    <t>↑ Live data</t>
  </si>
  <si>
    <t>⚠</t>
  </si>
  <si>
    <t>✔</t>
  </si>
  <si>
    <t>Inspection Score</t>
  </si>
  <si>
    <t>🎓</t>
  </si>
  <si>
    <t>Training Compl. %</t>
  </si>
  <si>
    <t>📄</t>
  </si>
  <si>
    <t>Doc Compliance %</t>
  </si>
  <si>
    <t>⚡</t>
  </si>
  <si>
    <t>Open Actions</t>
  </si>
  <si>
    <t xml:space="preserve">  INCIDENT TREND</t>
  </si>
  <si>
    <t xml:space="preserve">  INCIDENT BY TYPE</t>
  </si>
  <si>
    <t xml:space="preserve">  TOP LOCATIONS</t>
  </si>
  <si>
    <t xml:space="preserve">  INSPECTION SCORE TREND</t>
  </si>
  <si>
    <t xml:space="preserve">  TRAINING STATUS</t>
  </si>
  <si>
    <t xml:space="preserve">  ACTIONS BY STATUS</t>
  </si>
  <si>
    <t>Complete</t>
  </si>
  <si>
    <t>📋</t>
  </si>
  <si>
    <t>Auto Formulas</t>
  </si>
  <si>
    <t>KPIs update instantly from data sheets</t>
  </si>
  <si>
    <t>🔽</t>
  </si>
  <si>
    <t>Smart Dropdowns</t>
  </si>
  <si>
    <t>Validated options on every input cell</t>
  </si>
  <si>
    <t>🎨</t>
  </si>
  <si>
    <t>Auto Colour Code</t>
  </si>
  <si>
    <t>Status and risk colour without manual work</t>
  </si>
  <si>
    <t>🔍</t>
  </si>
  <si>
    <t>Live Filters</t>
  </si>
  <si>
    <t>Filter Dashboard by Year · Month · Dept · Location</t>
  </si>
  <si>
    <t>📊</t>
  </si>
  <si>
    <t>Live Charts</t>
  </si>
  <si>
    <t>Charts rebuild from real data automatically</t>
  </si>
  <si>
    <t>Risk Engine</t>
  </si>
  <si>
    <t>Risk Score and Level calculated on entry</t>
  </si>
  <si>
    <t>THINK SAFE  ·  WORK SAFE  ·  GO HOME SAFE</t>
  </si>
  <si>
    <t>📌  HOW TO USE THIS DASHBOARD</t>
  </si>
  <si>
    <t>DASHBOARD — Filters</t>
  </si>
  <si>
    <t>Use the 4 dropdown cells in the filter bar (Year, Month, Department, Location) to slice all KPIs and charts simultaneously. Select "All" to show everything.</t>
  </si>
  <si>
    <t>DASHBOARD — KPI Cards</t>
  </si>
  <si>
    <t>Every number is a live formula — no manual editing needed. The colour changes automatically: green = on target, amber = caution, red = action required.</t>
  </si>
  <si>
    <t>INCIDENTS — How to log</t>
  </si>
  <si>
    <t>Type the date in column B. Type, Location, Department, Severity, and Status columns have dropdown menus — click the cell and choose from the list. Dashboard KPIs update immediately.</t>
  </si>
  <si>
    <t>TRAINING — Auto-Status</t>
  </si>
  <si>
    <t>The "Auto-Status" column (I) is calculated automatically. Leave Completion Date blank for upcoming training. Fill it in when done — status changes to Complete. Past-due without completion = Overdue.</t>
  </si>
  <si>
    <t>ACTIONS — Days Overdue</t>
  </si>
  <si>
    <t>The "Days Overdue" column calculates automatically. It shows 0 when status is Done or Closed, and counts days past the due date otherwise. Cells turn red when overdue.</t>
  </si>
  <si>
    <t>RISK REGISTER — Risk Score</t>
  </si>
  <si>
    <t>Enter Likelihood (1-5) and Consequence (1-5). Risk Score and Risk Level calculate instantly and colour-code: Extreme (red, 15+), High (orange, 10-14), Medium (amber, 5-9), Low (green).</t>
  </si>
  <si>
    <t>ENVIRONMENT — Recycle %</t>
  </si>
  <si>
    <t>Enter Waste Recycled and Waste Landfill weights. The Recycle % column calculates automatically. Spills and CO Incidents cells turn red if any value is entered above 0.</t>
  </si>
  <si>
    <t>ADDING NEW ROWS</t>
  </si>
  <si>
    <t>Each data sheet has 200 rows pre-configured with formulas, dropdowns, and conditional formatting. Simply type in the next blank row — everything works automatically.</t>
  </si>
  <si>
    <t>DROPDOWN LISTS</t>
  </si>
  <si>
    <t>All dropdown options are managed on the hidden SETUP sheet. To add a new department, location, or incident type, unhide SETUP, add the item to the appropriate column, then re-hide it.</t>
  </si>
  <si>
    <t>DO NOT MODIFY</t>
  </si>
  <si>
    <t>Do not delete or rename columns — the Dashboard SUMPRODUCT formulas reference columns by name using Excel table structured references. Renaming a column will break the KPI formulas.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</si>
</sst>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34">
    <font>
      <sz val="11"/>
      <color theme="1"/>
      <name val="Calibri"/>
      <family val="2"/>
      <scheme val="minor"/>
    </font>
    <font>
      <b/>
      <sz val="8"/>
      <color rgb="FF00FF87"/>
      <name val="Candara"/>
      <family val="2"/>
    </font>
    <font>
      <sz val="9"/>
      <color rgb="FFFFFFFF"/>
      <name val="Candara"/>
      <family val="2"/>
    </font>
    <font>
      <b/>
      <sz val="16"/>
      <color rgb="FFFF3333"/>
      <name val="Candara"/>
      <family val="2"/>
    </font>
    <font>
      <sz val="9"/>
      <color rgb="FFDDDDDD"/>
      <name val="Candara"/>
      <family val="2"/>
    </font>
    <font>
      <b/>
      <sz val="16"/>
      <color rgb="FF00FF87"/>
      <name val="Candara"/>
      <family val="2"/>
    </font>
    <font>
      <b/>
      <sz val="16"/>
      <color rgb="FF00D4C8"/>
      <name val="Candara"/>
      <family val="2"/>
    </font>
    <font>
      <b/>
      <sz val="16"/>
      <color rgb="FFFFD60A"/>
      <name val="Candara"/>
      <family val="2"/>
    </font>
    <font>
      <b/>
      <sz val="16"/>
      <color rgb="FFFF8C00"/>
      <name val="Candara"/>
      <family val="2"/>
    </font>
    <font>
      <b/>
      <sz val="22"/>
      <color rgb="FF00FF87"/>
      <name val="Candara"/>
      <family val="2"/>
    </font>
    <font>
      <i/>
      <sz val="9"/>
      <color rgb="FF6A8FAA"/>
      <name val="Candara"/>
      <family val="2"/>
    </font>
    <font>
      <b/>
      <sz val="11"/>
      <color rgb="FF00FF87"/>
      <name val="Candara"/>
      <family val="2"/>
    </font>
    <font>
      <sz val="10"/>
      <color rgb="FFFFFFFF"/>
      <name val="Candara"/>
      <family val="2"/>
    </font>
    <font>
      <sz val="8"/>
      <color rgb="FF6A8FAA"/>
      <name val="Candara"/>
      <family val="2"/>
    </font>
    <font>
      <b/>
      <sz val="10"/>
      <color rgb="FFFFD60A"/>
      <name val="Candara"/>
      <family val="2"/>
    </font>
    <font>
      <b/>
      <sz val="10"/>
      <color rgb="FFFFD60A"/>
      <name val="Candara"/>
      <family val="2"/>
    </font>
    <font>
      <sz val="13"/>
      <color rgb="FFFF3333"/>
      <name val="Candara"/>
      <family val="2"/>
    </font>
    <font>
      <b/>
      <sz val="20"/>
      <color rgb="FFFFFFFF"/>
      <name val="Candara"/>
      <family val="2"/>
    </font>
    <font>
      <sz val="13"/>
      <color rgb="FFFF8C00"/>
      <name val="Candara"/>
      <family val="2"/>
    </font>
    <font>
      <sz val="13"/>
      <color rgb="FF00FF87"/>
      <name val="Candara"/>
      <family val="2"/>
    </font>
    <font>
      <sz val="13"/>
      <color rgb="FF00D4C8"/>
      <name val="Candara"/>
      <family val="2"/>
    </font>
    <font>
      <sz val="13"/>
      <color rgb="FF9B6DFF"/>
      <name val="Candara"/>
      <family val="2"/>
    </font>
    <font>
      <sz val="13"/>
      <color rgb="FFFFD60A"/>
      <name val="Candara"/>
      <family val="2"/>
    </font>
    <font>
      <b/>
      <sz val="8"/>
      <color rgb="FF6A8FAA"/>
      <name val="Candara"/>
      <family val="2"/>
    </font>
    <font>
      <i/>
      <sz val="7"/>
      <color rgb="FFFF3333"/>
      <name val="Candara"/>
      <family val="2"/>
    </font>
    <font>
      <i/>
      <sz val="7"/>
      <color rgb="FFFF8C00"/>
      <name val="Candara"/>
      <family val="2"/>
    </font>
    <font>
      <i/>
      <sz val="7"/>
      <color rgb="FF00FF87"/>
      <name val="Candara"/>
      <family val="2"/>
    </font>
    <font>
      <i/>
      <sz val="7"/>
      <color rgb="FF00D4C8"/>
      <name val="Candara"/>
      <family val="2"/>
    </font>
    <font>
      <i/>
      <sz val="7"/>
      <color rgb="FF9B6DFF"/>
      <name val="Candara"/>
      <family val="2"/>
    </font>
    <font>
      <i/>
      <sz val="7"/>
      <color rgb="FFFFD60A"/>
      <name val="Candara"/>
      <family val="2"/>
    </font>
    <font>
      <b/>
      <sz val="9"/>
      <color rgb="FF00FF87"/>
      <name val="Candara"/>
      <family val="2"/>
    </font>
    <font>
      <b/>
      <sz val="8"/>
      <color rgb="FFFFFFFF"/>
      <name val="Candara"/>
      <family val="2"/>
    </font>
    <font>
      <sz val="7"/>
      <color rgb="FF6A8FAA"/>
      <name val="Candara"/>
      <family val="2"/>
    </font>
    <font>
      <b/>
      <sz val="14"/>
      <color rgb="FF00FF87"/>
      <name val="Candara"/>
      <family val="2"/>
    </font>
  </fonts>
  <fills count="13">
    <fill>
      <patternFill patternType="none"/>
    </fill>
    <fill>
      <patternFill patternType="gray125"/>
    </fill>
    <fill>
      <patternFill patternType="solid">
        <fgColor rgb="FF061827"/>
        <bgColor indexed="64"/>
      </patternFill>
    </fill>
    <fill>
      <patternFill patternType="solid">
        <fgColor rgb="FF030C1C"/>
        <bgColor indexed="64"/>
      </patternFill>
    </fill>
    <fill>
      <patternFill patternType="solid">
        <fgColor rgb="FF100005"/>
        <bgColor indexed="64"/>
      </patternFill>
    </fill>
    <fill>
      <patternFill patternType="solid">
        <fgColor rgb="FF0A1E30"/>
        <bgColor indexed="64"/>
      </patternFill>
    </fill>
    <fill>
      <patternFill patternType="solid">
        <fgColor rgb="FF001510"/>
        <bgColor indexed="64"/>
      </patternFill>
    </fill>
    <fill>
      <patternFill patternType="solid">
        <fgColor rgb="FF001518"/>
        <bgColor indexed="64"/>
      </patternFill>
    </fill>
    <fill>
      <patternFill patternType="solid">
        <fgColor rgb="FF151000"/>
        <bgColor indexed="64"/>
      </patternFill>
    </fill>
    <fill>
      <patternFill patternType="solid">
        <fgColor rgb="FF150800"/>
        <bgColor indexed="64"/>
      </patternFill>
    </fill>
    <fill>
      <patternFill patternType="solid">
        <fgColor rgb="FF000D1F"/>
        <bgColor indexed="64"/>
      </patternFill>
    </fill>
    <fill>
      <patternFill patternType="solid">
        <fgColor rgb="FF071525"/>
        <bgColor indexed="64"/>
      </patternFill>
    </fill>
    <fill>
      <patternFill patternType="solid">
        <fgColor rgb="FF0D2035"/>
        <bgColor indexed="64"/>
      </patternFill>
    </fill>
  </fills>
  <borders count="3">
    <border>
      <left/>
      <right/>
      <top/>
      <bottom/>
      <diagonal/>
    </border>
    <border>
      <left style="thin">
        <color rgb="FF0D2035"/>
      </left>
      <right style="thin">
        <color rgb="FF0D2035"/>
      </right>
      <top style="thin">
        <color rgb="FF0D2035"/>
      </top>
      <bottom style="thin">
        <color rgb="FF0D2035"/>
      </bottom>
      <diagonal/>
    </border>
    <border>
      <left style="medium">
        <color rgb="FF00FF87"/>
      </left>
      <right style="medium">
        <color rgb="FF00FF87"/>
      </right>
      <top style="medium">
        <color rgb="FF00FF87"/>
      </top>
      <bottom style="medium">
        <color rgb="FF00FF87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164" fontId="4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5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165" fontId="4" fillId="2" borderId="1" xfId="0" applyNumberFormat="1" applyFont="1" applyFill="1" applyBorder="1" applyAlignment="1">
      <alignment horizontal="right" vertical="center"/>
    </xf>
    <xf numFmtId="165" fontId="4" fillId="5" borderId="1" xfId="0" applyNumberFormat="1" applyFont="1" applyFill="1" applyBorder="1" applyAlignment="1">
      <alignment horizontal="right" vertical="center"/>
    </xf>
    <xf numFmtId="0" fontId="9" fillId="10" borderId="0" xfId="0" applyFont="1" applyFill="1" applyAlignment="1">
      <alignment horizontal="left" vertical="center"/>
    </xf>
    <xf numFmtId="0" fontId="10" fillId="10" borderId="0" xfId="0" applyFont="1" applyFill="1" applyAlignment="1">
      <alignment horizontal="right" vertical="center"/>
    </xf>
    <xf numFmtId="0" fontId="11" fillId="6" borderId="2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0" fontId="14" fillId="12" borderId="2" xfId="0" applyFont="1" applyFill="1" applyBorder="1" applyAlignment="1" applyProtection="1">
      <alignment horizontal="center" vertical="center"/>
      <protection locked="0"/>
    </xf>
    <xf numFmtId="0" fontId="15" fillId="12" borderId="2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0" fillId="5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0" applyFont="1" applyFill="1" applyAlignment="1">
      <alignment horizontal="center" vertical="center" wrapText="1"/>
    </xf>
    <xf numFmtId="0" fontId="33" fillId="10" borderId="0" xfId="0" applyFont="1" applyFill="1" applyAlignment="1">
      <alignment horizontal="center" vertical="center"/>
    </xf>
    <xf numFmtId="0" fontId="30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 wrapText="1"/>
    </xf>
  </cellXfs>
  <cellStyles count="1">
    <cellStyle name="Normal" xfId="0" builtinId="0"/>
  </cellStyles>
  <dxfs count="7">
    <dxf>
      <font>
        <b/>
        <color rgb="FFFF9999"/>
      </font>
      <fill>
        <patternFill>
          <bgColor rgb="FF5C0011"/>
        </patternFill>
      </fill>
    </dxf>
    <dxf>
      <font>
        <color rgb="FFFFBB77"/>
      </font>
      <fill>
        <patternFill>
          <bgColor rgb="FF5C2E00"/>
        </patternFill>
      </fill>
    </dxf>
    <dxf>
      <font>
        <color rgb="FFFFE066"/>
      </font>
      <fill>
        <patternFill>
          <bgColor rgb="FF4A3800"/>
        </patternFill>
      </fill>
    </dxf>
    <dxf>
      <font>
        <color rgb="FF88FFBB"/>
      </font>
      <fill>
        <patternFill>
          <bgColor rgb="FF0D4020"/>
        </patternFill>
      </fill>
    </dxf>
    <dxf>
      <font>
        <color rgb="FF66BBFF"/>
      </font>
      <fill>
        <patternFill>
          <bgColor rgb="FF002040"/>
        </patternFill>
      </fill>
    </dxf>
    <dxf>
      <font>
        <color rgb="FF8899AA"/>
      </font>
      <fill>
        <patternFill>
          <bgColor rgb="FF0A1E30"/>
        </patternFill>
      </fill>
    </dxf>
    <dxf>
      <font>
        <color rgb="FF55CC88"/>
      </font>
      <fill>
        <patternFill>
          <bgColor rgb="FF071A0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Current Year</c:v>
          </c:tx>
          <c:spPr>
            <a:ln w="31750">
              <a:solidFill>
                <a:srgbClr val="00FF87"/>
              </a:solidFill>
            </a:ln>
          </c:spPr>
          <c:marker>
            <c:symbol val="circle"/>
            <c:size val="4"/>
            <c:spPr>
              <a:solidFill>
                <a:srgbClr val="00FF87"/>
              </a:solidFill>
              <a:ln>
                <a:solidFill>
                  <a:srgbClr val="00FF87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DASHBOARD'!$B$211:$B$222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Previous Year</c:v>
          </c:tx>
          <c:spPr>
            <a:ln w="25400">
              <a:solidFill>
                <a:srgbClr val="FFD60A"/>
              </a:solidFill>
            </a:ln>
          </c:spPr>
          <c:marker>
            <c:symbol val="circle"/>
            <c:size val="3"/>
            <c:spPr>
              <a:solidFill>
                <a:srgbClr val="FFD60A"/>
              </a:solidFill>
              <a:ln>
                <a:solidFill>
                  <a:srgbClr val="FFD60A"/>
                </a:solidFill>
              </a:ln>
            </c:spPr>
          </c:marker>
          <c:cat>
            <c:strRef>
              <c:f>'📊 DASHBOARD'!$A$211:$A$222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DASHBOARD'!$C$211:$C$222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6A8FAA"/>
              </a:solidFill>
            </a:defRPr>
          </a:pPr>
          <a:endParaRPr lang="en-US"/>
        </a:p>
      </c:txPr>
    </c:legend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3B9EFF"/>
            </a:solidFill>
            <a:ln>
              <a:noFill/>
            </a:ln>
          </c:spPr>
          <c:cat>
            <c:strRef>
              <c:f>'📊 DASHBOARD'!$A$223:$A$230</c:f>
              <c:strCache>
                <c:ptCount val="8"/>
                <c:pt idx="0">
                  <c:v>Near Miss</c:v>
                </c:pt>
                <c:pt idx="1">
                  <c:v>First Aid</c:v>
                </c:pt>
                <c:pt idx="2">
                  <c:v>Medical Treatment</c:v>
                </c:pt>
                <c:pt idx="3">
                  <c:v>Recordable</c:v>
                </c:pt>
                <c:pt idx="4">
                  <c:v>Lost Time Injury</c:v>
                </c:pt>
                <c:pt idx="5">
                  <c:v>Property Damage</c:v>
                </c:pt>
                <c:pt idx="6">
                  <c:v>Environmental</c:v>
                </c:pt>
                <c:pt idx="7">
                  <c:v>Fatality</c:v>
                </c:pt>
              </c:strCache>
            </c:strRef>
          </c:cat>
          <c:val>
            <c:numRef>
              <c:f>'📊 DASHBOARD'!$B$223:$B$230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Incidents</c:v>
          </c:tx>
          <c:spPr>
            <a:solidFill>
              <a:srgbClr val="00D4C8"/>
            </a:solidFill>
            <a:ln>
              <a:noFill/>
            </a:ln>
          </c:spPr>
          <c:cat>
            <c:strRef>
              <c:f>'📊 DASHBOARD'!$A$231:$A$238</c:f>
              <c:strCache>
                <c:ptCount val="8"/>
                <c:pt idx="0">
                  <c:v>Warehouse</c:v>
                </c:pt>
                <c:pt idx="1">
                  <c:v>Production Floor</c:v>
                </c:pt>
                <c:pt idx="2">
                  <c:v>Office</c:v>
                </c:pt>
                <c:pt idx="3">
                  <c:v>Workshop</c:v>
                </c:pt>
                <c:pt idx="4">
                  <c:v>Laboratory</c:v>
                </c:pt>
                <c:pt idx="5">
                  <c:v>Yard</c:v>
                </c:pt>
                <c:pt idx="6">
                  <c:v>Site A</c:v>
                </c:pt>
                <c:pt idx="7">
                  <c:v>Site B</c:v>
                </c:pt>
              </c:strCache>
            </c:strRef>
          </c:cat>
          <c:val>
            <c:numRef>
              <c:f>'📊 DASHBOARD'!$B$231:$B$238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Score %</c:v>
          </c:tx>
          <c:spPr>
            <a:solidFill>
              <a:srgbClr val="00FF87"/>
            </a:solidFill>
            <a:ln>
              <a:noFill/>
            </a:ln>
          </c:spPr>
          <c:cat>
            <c:strRef>
              <c:f>'📊 DASHBOARD'!$A$241:$A$252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'📊 DASHBOARD'!$B$241:$B$252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Staff</c:v>
          </c:tx>
          <c:spPr>
            <a:solidFill>
              <a:srgbClr val="9B6DFF"/>
            </a:solidFill>
            <a:ln>
              <a:noFill/>
            </a:ln>
          </c:spPr>
          <c:cat>
            <c:strRef>
              <c:f>'📊 DASHBOARD'!$A$254:$A$256</c:f>
              <c:strCache>
                <c:ptCount val="3"/>
                <c:pt idx="0">
                  <c:v>Complete</c:v>
                </c:pt>
                <c:pt idx="1">
                  <c:v>Pending</c:v>
                </c:pt>
                <c:pt idx="2">
                  <c:v>Overdue</c:v>
                </c:pt>
              </c:strCache>
            </c:strRef>
          </c:cat>
          <c:val>
            <c:numRef>
              <c:f>'📊 DASHBOARD'!$B$254:$B$256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Actions</c:v>
          </c:tx>
          <c:spPr>
            <a:solidFill>
              <a:srgbClr val="FFD60A"/>
            </a:solidFill>
            <a:ln>
              <a:noFill/>
            </a:ln>
          </c:spPr>
          <c:cat>
            <c:strRef>
              <c:f>'📊 DASHBOARD'!$A$258:$A$262</c:f>
              <c:strCache>
                <c:ptCount val="5"/>
                <c:pt idx="0">
                  <c:v>Done</c:v>
                </c:pt>
                <c:pt idx="1">
                  <c:v>Closed</c:v>
                </c:pt>
                <c:pt idx="2">
                  <c:v>In Progress</c:v>
                </c:pt>
                <c:pt idx="3">
                  <c:v>Pending</c:v>
                </c:pt>
                <c:pt idx="4">
                  <c:v>Overdue</c:v>
                </c:pt>
              </c:strCache>
            </c:strRef>
          </c:cat>
          <c:val>
            <c:numRef>
              <c:f>'📊 DASHBOARD'!$B$258:$B$262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>
          <c:spPr>
            <a:ln w="6350">
              <a:solidFill>
                <a:srgbClr val="0D2035"/>
              </a:solidFill>
            </a:ln>
          </c:spPr>
        </c:majorGridlines>
        <c:numFmt formatCode="General" sourceLinked="1"/>
        <c:tickLblPos val="nextTo"/>
        <c:spPr>
          <a:ln>
            <a:solidFill>
              <a:srgbClr val="0D2035"/>
            </a:solidFill>
          </a:ln>
        </c:spPr>
        <c:txPr>
          <a:bodyPr/>
          <a:lstStyle/>
          <a:p>
            <a:pPr>
              <a:defRPr sz="700" baseline="0">
                <a:solidFill>
                  <a:srgbClr val="6A8FAA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071525"/>
        </a:solidFill>
        <a:ln w="6350">
          <a:solidFill>
            <a:srgbClr val="0D2035"/>
          </a:solidFill>
        </a:ln>
      </c:spPr>
    </c:plotArea>
    <c:plotVisOnly val="1"/>
  </c:chart>
  <c:spPr>
    <a:solidFill>
      <a:srgbClr val="061827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21</xdr:row>
      <xdr:rowOff>0</xdr:rowOff>
    </xdr:from>
    <xdr:to>
      <xdr:col>16</xdr:col>
      <xdr:colOff>133350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21</xdr:row>
      <xdr:rowOff>0</xdr:rowOff>
    </xdr:from>
    <xdr:to>
      <xdr:col>28</xdr:col>
      <xdr:colOff>133350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21</xdr:row>
      <xdr:rowOff>0</xdr:rowOff>
    </xdr:from>
    <xdr:to>
      <xdr:col>40</xdr:col>
      <xdr:colOff>133350</xdr:colOff>
      <xdr:row>41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44</xdr:row>
      <xdr:rowOff>0</xdr:rowOff>
    </xdr:from>
    <xdr:to>
      <xdr:col>16</xdr:col>
      <xdr:colOff>133350</xdr:colOff>
      <xdr:row>64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44</xdr:row>
      <xdr:rowOff>0</xdr:rowOff>
    </xdr:from>
    <xdr:to>
      <xdr:col>28</xdr:col>
      <xdr:colOff>133350</xdr:colOff>
      <xdr:row>64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0</xdr:colOff>
      <xdr:row>44</xdr:row>
      <xdr:rowOff>0</xdr:rowOff>
    </xdr:from>
    <xdr:to>
      <xdr:col>40</xdr:col>
      <xdr:colOff>133350</xdr:colOff>
      <xdr:row>64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IncidentsTable" displayName="IncidentsTable" ref="A4:M204" totalsRowShown="0">
  <autoFilter ref="A4:M204"/>
  <tableColumns count="13">
    <tableColumn id="1" name="#">
      <calculatedColumnFormula>IF([[#This Row],Date]="","",ROW()-4)</calculatedColumnFormula>
    </tableColumn>
    <tableColumn id="2" name="Date"/>
    <tableColumn id="3" name="Description"/>
    <tableColumn id="4" name="Type"/>
    <tableColumn id="5" name="Location"/>
    <tableColumn id="6" name="Department"/>
    <tableColumn id="7" name="Severity"/>
    <tableColumn id="8" name="Reported By"/>
    <tableColumn id="9" name="Status"/>
    <tableColumn id="10" name="Actions Required"/>
    <tableColumn id="11" name="Closed Date"/>
    <tableColumn id="12" name="_Year">
      <calculatedColumnFormula>IF([[#This Row],Date]="","",YEAR([[#This Row],Date]))</calculatedColumnFormula>
    </tableColumn>
    <tableColumn id="13" name="_Month">
      <calculatedColumnFormula>IF([[#This Row],Date]="","",TEXT([[#This Row],Date],"mmmm"))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pectionsTable" displayName="InspectionsTable" ref="A4:L204" totalsRowShown="0">
  <autoFilter ref="A4:L204"/>
  <tableColumns count="12">
    <tableColumn id="1" name="#">
      <calculatedColumnFormula>IF([[#This Row],Date]="","",ROW()-4)</calculatedColumnFormula>
    </tableColumn>
    <tableColumn id="2" name="Date"/>
    <tableColumn id="3" name="Type"/>
    <tableColumn id="4" name="Location"/>
    <tableColumn id="5" name="Department"/>
    <tableColumn id="6" name="Inspector"/>
    <tableColumn id="7" name="Score %"/>
    <tableColumn id="8" name="Findings"/>
    <tableColumn id="9" name="Status"/>
    <tableColumn id="10" name="Next Due"/>
    <tableColumn id="11" name="_Year">
      <calculatedColumnFormula>IF([[#This Row],Date]="","",YEAR([[#This Row],Date]))</calculatedColumnFormula>
    </tableColumn>
    <tableColumn id="12" name="_Month">
      <calculatedColumnFormula>IF([[#This Row],Date]="","",TEXT([[#This Row],Date],"mmmm"))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rainingTable" displayName="TrainingTable" ref="A4:J204" totalsRowShown="0">
  <autoFilter ref="A4:J204"/>
  <tableColumns count="10">
    <tableColumn id="1" name="#">
      <calculatedColumnFormula>IF([[#This Row],Employee]="","",ROW()-4)</calculatedColumnFormula>
    </tableColumn>
    <tableColumn id="2" name="Employee"/>
    <tableColumn id="3" name="Department"/>
    <tableColumn id="4" name="Course"/>
    <tableColumn id="5" name="Type"/>
    <tableColumn id="6" name="Due Date"/>
    <tableColumn id="7" name="Completion Date"/>
    <tableColumn id="8" name="Score %"/>
    <tableColumn id="9" name="Auto-Status">
      <calculatedColumnFormula>IF([[#This Row],Employee]="","",IF([[#This Row],[Completion Date]]&lt;&gt;"","Complete",IF([[#This Row],[Due Date]]&lt;TODAY(),"Overdue","Pending")))</calculatedColumnFormula>
    </tableColumn>
    <tableColumn id="10" name="Certificate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ctionsTable" displayName="ActionsTable" ref="A4:L204" totalsRowShown="0">
  <autoFilter ref="A4:L204"/>
  <tableColumns count="12">
    <tableColumn id="1" name="#">
      <calculatedColumnFormula>IF([[#This Row],Description]="","",ROW()-4)</calculatedColumnFormula>
    </tableColumn>
    <tableColumn id="2" name="Description"/>
    <tableColumn id="3" name="Source"/>
    <tableColumn id="4" name="Assigned To"/>
    <tableColumn id="5" name="Department"/>
    <tableColumn id="6" name="Priority"/>
    <tableColumn id="7" name="Due Date"/>
    <tableColumn id="8" name="Status"/>
    <tableColumn id="9" name="% Complete"/>
    <tableColumn id="10" name="Days Overdue">
      <calculatedColumnFormula>IF(AND([[#This Row],Status]&lt;&gt;"Done",[[#This Row],Status]&lt;&gt;"Closed",[[#This Row],Status]&lt;&gt;"",[[#This Row],[Due Date]]&lt;&gt;"",[[#This Row],[Due Date]]&lt;TODAY()),TODAY()-[[#This Row],[Due Date]],0)</calculatedColumnFormula>
    </tableColumn>
    <tableColumn id="11" name="Closed Date"/>
    <tableColumn id="12" name="Comment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5" name="RiskTable" displayName="RiskTable" ref="A4:O204" totalsRowShown="0">
  <autoFilter ref="A4:O204"/>
  <tableColumns count="15">
    <tableColumn id="1" name="#">
      <calculatedColumnFormula>IF([[#This Row],Hazard]="","",ROW()-4)</calculatedColumnFormula>
    </tableColumn>
    <tableColumn id="2" name="Hazard"/>
    <tableColumn id="3" name="Location"/>
    <tableColumn id="4" name="Department"/>
    <tableColumn id="5" name="Likelihood"/>
    <tableColumn id="6" name="Consequence"/>
    <tableColumn id="7" name="Risk Score">
      <calculatedColumnFormula>IF(AND([[#This Row],Likelihood]&lt;&gt;"",[[#This Row],Consequence]&lt;&gt;""),[[#This Row],Likelihood]*[[#This Row],Consequence],"")</calculatedColumnFormula>
    </tableColumn>
    <tableColumn id="8" name="Risk Level">
      <calculatedColumnFormula>IF([[#This Row],[Risk Score]]="","",IF([[#This Row],[Risk Score]]&gt;=15,"Extreme",IF([[#This Row],[Risk Score]]&gt;=10,"High",IF([[#This Row],[Risk Score]]&gt;=5,"Medium",IF([[#This Row],[Risk Score]]&gt;=2,"Low","Very Low")))))</calculatedColumnFormula>
    </tableColumn>
    <tableColumn id="9" name="Controls"/>
    <tableColumn id="10" name="Res. Likelihood"/>
    <tableColumn id="11" name="Res. Consequence"/>
    <tableColumn id="12" name="Residual Score">
      <calculatedColumnFormula>IF(AND([[#This Row],[Res. Likelihood]]&lt;&gt;"",[[#This Row],[Res. Consequence]]&lt;&gt;""),[[#This Row],[Res. Likelihood]]*[[#This Row],[Res. Consequence]],"")</calculatedColumnFormula>
    </tableColumn>
    <tableColumn id="13" name="Residual Level">
      <calculatedColumnFormula>IF([[#This Row],[Residual Score]]="","",IF([[#This Row],[Residual Score]]&gt;=15,"Extreme",IF([[#This Row],[Residual Score]]&gt;=10,"High",IF([[#This Row],[Residual Score]]&gt;=5,"Medium",IF([[#This Row],[Residual Score]]&gt;=2,"Low","Very Low")))))</calculatedColumnFormula>
    </tableColumn>
    <tableColumn id="14" name="Owner"/>
    <tableColumn id="15" name="Next Review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EnvironmentTable" displayName="EnvironmentTable" ref="A4:L204" totalsRowShown="0">
  <autoFilter ref="A4:L204"/>
  <tableColumns count="12">
    <tableColumn id="1" name="#">
      <calculatedColumnFormula>IF([[#This Row],Month]="","",ROW()-4)</calculatedColumnFormula>
    </tableColumn>
    <tableColumn id="2" name="Month"/>
    <tableColumn id="3" name="Year"/>
    <tableColumn id="4" name="Waste Recycled (kg)"/>
    <tableColumn id="5" name="Waste Landfill (kg)"/>
    <tableColumn id="6" name="Recycle %">
      <calculatedColumnFormula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calculatedColumnFormula>
    </tableColumn>
    <tableColumn id="7" name="Carbon (MWh)"/>
    <tableColumn id="8" name="Diesel (L)"/>
    <tableColumn id="9" name="Water (m³)"/>
    <tableColumn id="10" name="Spills"/>
    <tableColumn id="11" name="CO Incidents"/>
    <tableColumn id="12" name="Notes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"/>
  <sheetViews>
    <sheetView tabSelected="1" workbookViewId="0"/>
  </sheetViews>
  <sheetFormatPr defaultRowHeight="15"/>
  <cols>
    <col min="1" max="21" width="20.7109375" customWidth="1"/>
  </cols>
  <sheetData>
    <row r="1" spans="1:17">
      <c r="A1" s="1" t="s">
        <v>0</v>
      </c>
      <c r="B1" s="1" t="s">
        <v>11</v>
      </c>
      <c r="C1" s="1" t="s">
        <v>20</v>
      </c>
      <c r="D1" s="1" t="s">
        <v>29</v>
      </c>
      <c r="E1" s="1" t="s">
        <v>35</v>
      </c>
      <c r="F1" s="1" t="s">
        <v>41</v>
      </c>
      <c r="G1" s="1" t="s">
        <v>45</v>
      </c>
      <c r="H1" s="1" t="s">
        <v>51</v>
      </c>
      <c r="I1" s="1" t="s">
        <v>57</v>
      </c>
      <c r="J1" s="1" t="s">
        <v>70</v>
      </c>
      <c r="K1" s="1" t="s">
        <v>72</v>
      </c>
      <c r="L1" s="1" t="s">
        <v>73</v>
      </c>
      <c r="M1" s="1" t="s">
        <v>74</v>
      </c>
      <c r="N1" s="1" t="s">
        <v>77</v>
      </c>
      <c r="O1" s="1" t="s">
        <v>78</v>
      </c>
      <c r="P1" s="1" t="s">
        <v>86</v>
      </c>
      <c r="Q1" s="1" t="s">
        <v>87</v>
      </c>
    </row>
    <row r="2" spans="1:17">
      <c r="A2" s="2" t="s">
        <v>1</v>
      </c>
      <c r="B2" s="2" t="s">
        <v>12</v>
      </c>
      <c r="C2" s="2" t="s">
        <v>21</v>
      </c>
      <c r="D2" s="2" t="s">
        <v>30</v>
      </c>
      <c r="E2" s="2" t="s">
        <v>36</v>
      </c>
      <c r="F2" s="2" t="s">
        <v>42</v>
      </c>
      <c r="G2" s="2" t="s">
        <v>46</v>
      </c>
      <c r="H2" s="2" t="s">
        <v>52</v>
      </c>
      <c r="I2" s="2" t="s">
        <v>58</v>
      </c>
      <c r="J2" s="2" t="s">
        <v>71</v>
      </c>
      <c r="K2" s="2" t="s">
        <v>71</v>
      </c>
      <c r="L2" s="2">
        <v>1</v>
      </c>
      <c r="M2" s="2" t="s">
        <v>75</v>
      </c>
      <c r="N2" s="2" t="s">
        <v>42</v>
      </c>
      <c r="O2" s="2" t="s">
        <v>79</v>
      </c>
      <c r="P2" s="2" t="s">
        <v>71</v>
      </c>
      <c r="Q2" s="2" t="s">
        <v>71</v>
      </c>
    </row>
    <row r="3" spans="1:17">
      <c r="A3" s="2" t="s">
        <v>2</v>
      </c>
      <c r="B3" s="2" t="s">
        <v>13</v>
      </c>
      <c r="C3" s="2" t="s">
        <v>22</v>
      </c>
      <c r="D3" s="2" t="s">
        <v>31</v>
      </c>
      <c r="E3" s="2" t="s">
        <v>37</v>
      </c>
      <c r="F3" s="2" t="s">
        <v>43</v>
      </c>
      <c r="G3" s="2" t="s">
        <v>47</v>
      </c>
      <c r="H3" s="2" t="s">
        <v>53</v>
      </c>
      <c r="I3" s="2" t="s">
        <v>59</v>
      </c>
      <c r="J3" s="2">
        <v>2022</v>
      </c>
      <c r="K3" s="2" t="s">
        <v>58</v>
      </c>
      <c r="L3" s="2">
        <v>2</v>
      </c>
      <c r="M3" s="2" t="s">
        <v>76</v>
      </c>
      <c r="N3" s="2" t="s">
        <v>43</v>
      </c>
      <c r="O3" s="2" t="s">
        <v>80</v>
      </c>
      <c r="P3" s="2" t="s">
        <v>1</v>
      </c>
      <c r="Q3" s="2" t="s">
        <v>12</v>
      </c>
    </row>
    <row r="4" spans="1:17">
      <c r="A4" s="2" t="s">
        <v>3</v>
      </c>
      <c r="B4" s="2" t="s">
        <v>14</v>
      </c>
      <c r="C4" s="2" t="s">
        <v>23</v>
      </c>
      <c r="D4" s="2" t="s">
        <v>32</v>
      </c>
      <c r="E4" s="2" t="s">
        <v>38</v>
      </c>
      <c r="F4" s="2" t="s">
        <v>44</v>
      </c>
      <c r="G4" s="2" t="s">
        <v>48</v>
      </c>
      <c r="H4" s="2" t="s">
        <v>54</v>
      </c>
      <c r="I4" s="2" t="s">
        <v>60</v>
      </c>
      <c r="J4" s="2">
        <v>2023</v>
      </c>
      <c r="K4" s="2" t="s">
        <v>59</v>
      </c>
      <c r="L4" s="2">
        <v>3</v>
      </c>
      <c r="N4" s="2" t="s">
        <v>44</v>
      </c>
      <c r="O4" s="2" t="s">
        <v>81</v>
      </c>
      <c r="P4" s="2" t="s">
        <v>2</v>
      </c>
      <c r="Q4" s="2" t="s">
        <v>13</v>
      </c>
    </row>
    <row r="5" spans="1:17">
      <c r="A5" s="2" t="s">
        <v>4</v>
      </c>
      <c r="B5" s="2" t="s">
        <v>15</v>
      </c>
      <c r="C5" s="2" t="s">
        <v>24</v>
      </c>
      <c r="D5" s="2" t="s">
        <v>33</v>
      </c>
      <c r="E5" s="2" t="s">
        <v>39</v>
      </c>
      <c r="G5" s="2" t="s">
        <v>49</v>
      </c>
      <c r="H5" s="2" t="s">
        <v>55</v>
      </c>
      <c r="I5" s="2" t="s">
        <v>61</v>
      </c>
      <c r="J5" s="2">
        <v>2024</v>
      </c>
      <c r="K5" s="2" t="s">
        <v>60</v>
      </c>
      <c r="L5" s="2">
        <v>4</v>
      </c>
      <c r="O5" s="2" t="s">
        <v>82</v>
      </c>
      <c r="P5" s="2" t="s">
        <v>3</v>
      </c>
      <c r="Q5" s="2" t="s">
        <v>14</v>
      </c>
    </row>
    <row r="6" spans="1:17">
      <c r="A6" s="2" t="s">
        <v>5</v>
      </c>
      <c r="B6" s="2" t="s">
        <v>16</v>
      </c>
      <c r="C6" s="2" t="s">
        <v>25</v>
      </c>
      <c r="D6" s="2" t="s">
        <v>34</v>
      </c>
      <c r="E6" s="2" t="s">
        <v>40</v>
      </c>
      <c r="G6" s="2" t="s">
        <v>50</v>
      </c>
      <c r="H6" s="2" t="s">
        <v>56</v>
      </c>
      <c r="I6" s="2" t="s">
        <v>62</v>
      </c>
      <c r="J6" s="2">
        <v>2025</v>
      </c>
      <c r="K6" s="2" t="s">
        <v>61</v>
      </c>
      <c r="L6" s="2">
        <v>5</v>
      </c>
      <c r="O6" s="2" t="s">
        <v>28</v>
      </c>
      <c r="P6" s="2" t="s">
        <v>4</v>
      </c>
      <c r="Q6" s="2" t="s">
        <v>15</v>
      </c>
    </row>
    <row r="7" spans="1:17">
      <c r="A7" s="2" t="s">
        <v>6</v>
      </c>
      <c r="B7" s="2" t="s">
        <v>17</v>
      </c>
      <c r="C7" s="2" t="s">
        <v>26</v>
      </c>
      <c r="H7" s="2" t="s">
        <v>21</v>
      </c>
      <c r="I7" s="2" t="s">
        <v>63</v>
      </c>
      <c r="J7" s="2">
        <v>2026</v>
      </c>
      <c r="K7" s="2" t="s">
        <v>62</v>
      </c>
      <c r="O7" s="2" t="s">
        <v>83</v>
      </c>
      <c r="P7" s="2" t="s">
        <v>5</v>
      </c>
      <c r="Q7" s="2" t="s">
        <v>16</v>
      </c>
    </row>
    <row r="8" spans="1:17">
      <c r="A8" s="2" t="s">
        <v>7</v>
      </c>
      <c r="B8" s="2" t="s">
        <v>18</v>
      </c>
      <c r="C8" s="2" t="s">
        <v>27</v>
      </c>
      <c r="I8" s="2" t="s">
        <v>64</v>
      </c>
      <c r="K8" s="2" t="s">
        <v>63</v>
      </c>
      <c r="O8" s="2" t="s">
        <v>84</v>
      </c>
      <c r="P8" s="2" t="s">
        <v>6</v>
      </c>
      <c r="Q8" s="2" t="s">
        <v>17</v>
      </c>
    </row>
    <row r="9" spans="1:17">
      <c r="A9" s="2" t="s">
        <v>8</v>
      </c>
      <c r="B9" s="2" t="s">
        <v>19</v>
      </c>
      <c r="C9" s="2" t="s">
        <v>28</v>
      </c>
      <c r="I9" s="2" t="s">
        <v>65</v>
      </c>
      <c r="K9" s="2" t="s">
        <v>64</v>
      </c>
      <c r="O9" s="2" t="s">
        <v>85</v>
      </c>
      <c r="P9" s="2" t="s">
        <v>7</v>
      </c>
      <c r="Q9" s="2" t="s">
        <v>18</v>
      </c>
    </row>
    <row r="10" spans="1:17">
      <c r="A10" s="2" t="s">
        <v>9</v>
      </c>
      <c r="I10" s="2" t="s">
        <v>66</v>
      </c>
      <c r="K10" s="2" t="s">
        <v>65</v>
      </c>
      <c r="P10" s="2" t="s">
        <v>8</v>
      </c>
      <c r="Q10" s="2" t="s">
        <v>19</v>
      </c>
    </row>
    <row r="11" spans="1:17">
      <c r="A11" s="2" t="s">
        <v>10</v>
      </c>
      <c r="I11" s="2" t="s">
        <v>67</v>
      </c>
      <c r="K11" s="2" t="s">
        <v>66</v>
      </c>
      <c r="P11" s="2" t="s">
        <v>9</v>
      </c>
    </row>
    <row r="12" spans="1:17">
      <c r="I12" s="2" t="s">
        <v>68</v>
      </c>
      <c r="K12" s="2" t="s">
        <v>67</v>
      </c>
      <c r="P12" s="2" t="s">
        <v>10</v>
      </c>
    </row>
    <row r="13" spans="1:17">
      <c r="I13" s="2" t="s">
        <v>69</v>
      </c>
      <c r="K13" s="2" t="s">
        <v>68</v>
      </c>
    </row>
    <row r="14" spans="1:17">
      <c r="K14" s="2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3333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35.7109375" customWidth="1"/>
    <col min="4" max="4" width="18.7109375" customWidth="1"/>
    <col min="5" max="5" width="16.7109375" customWidth="1"/>
    <col min="6" max="6" width="14.7109375" customWidth="1"/>
    <col min="7" max="7" width="12.7109375" customWidth="1"/>
    <col min="8" max="8" width="16.7109375" customWidth="1"/>
    <col min="9" max="9" width="12.7109375" customWidth="1"/>
    <col min="10" max="10" width="32.7109375" customWidth="1"/>
    <col min="11" max="11" width="12.7109375" customWidth="1"/>
    <col min="12" max="13" width="0" hidden="1" customWidth="1"/>
  </cols>
  <sheetData>
    <row r="1" spans="1:13" ht="20" customHeight="1">
      <c r="A1" s="3" t="s">
        <v>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3" ht="20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ht="20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4" customHeight="1">
      <c r="A4" t="s">
        <v>89</v>
      </c>
      <c r="B4" t="s">
        <v>90</v>
      </c>
      <c r="C4" t="s">
        <v>91</v>
      </c>
      <c r="D4" t="s">
        <v>92</v>
      </c>
      <c r="E4" t="s">
        <v>93</v>
      </c>
      <c r="F4" t="s">
        <v>94</v>
      </c>
      <c r="G4" t="s">
        <v>29</v>
      </c>
      <c r="H4" t="s">
        <v>95</v>
      </c>
      <c r="I4" t="s">
        <v>35</v>
      </c>
      <c r="J4" t="s">
        <v>96</v>
      </c>
      <c r="K4" t="s">
        <v>97</v>
      </c>
      <c r="L4" t="s">
        <v>98</v>
      </c>
      <c r="M4" t="s">
        <v>99</v>
      </c>
    </row>
    <row r="5" spans="1:13" ht="22" customHeight="1">
      <c r="A5">
        <f>IF([[#This Row],Date]="","",ROW()-4)</f>
        <v>0</v>
      </c>
      <c r="B5" s="4">
        <v>45306</v>
      </c>
      <c r="C5" s="5" t="s">
        <v>100</v>
      </c>
      <c r="D5" s="5" t="s">
        <v>22</v>
      </c>
      <c r="E5" s="5" t="s">
        <v>12</v>
      </c>
      <c r="F5" s="5" t="s">
        <v>1</v>
      </c>
      <c r="G5" s="5" t="s">
        <v>30</v>
      </c>
      <c r="H5" s="5" t="s">
        <v>101</v>
      </c>
      <c r="I5" s="5" t="s">
        <v>38</v>
      </c>
      <c r="J5" s="5" t="s">
        <v>102</v>
      </c>
      <c r="K5" s="4">
        <v>45308</v>
      </c>
      <c r="L5">
        <f>IF([[#This Row],Date]="","",YEAR([[#This Row],Date]))</f>
        <v>0</v>
      </c>
      <c r="M5">
        <f>IF([[#This Row],Date]="","",TEXT([[#This Row],Date],"mmmm"))</f>
        <v>0</v>
      </c>
    </row>
    <row r="6" spans="1:13" ht="22" customHeight="1">
      <c r="A6">
        <f>IF([[#This Row],Date]="","",ROW()-4)</f>
        <v>0</v>
      </c>
      <c r="B6" s="6">
        <v>45325</v>
      </c>
      <c r="C6" s="7" t="s">
        <v>103</v>
      </c>
      <c r="D6" s="7" t="s">
        <v>21</v>
      </c>
      <c r="E6" s="7" t="s">
        <v>13</v>
      </c>
      <c r="F6" s="7" t="s">
        <v>4</v>
      </c>
      <c r="G6" s="7" t="s">
        <v>31</v>
      </c>
      <c r="H6" s="7" t="s">
        <v>104</v>
      </c>
      <c r="I6" s="7" t="s">
        <v>38</v>
      </c>
      <c r="J6" s="7" t="s">
        <v>105</v>
      </c>
      <c r="K6" s="6">
        <v>45327</v>
      </c>
      <c r="L6">
        <f>IF([[#This Row],Date]="","",YEAR([[#This Row],Date]))</f>
        <v>0</v>
      </c>
      <c r="M6">
        <f>IF([[#This Row],Date]="","",TEXT([[#This Row],Date],"mmmm"))</f>
        <v>0</v>
      </c>
    </row>
    <row r="7" spans="1:13" ht="22" customHeight="1">
      <c r="A7">
        <f>IF([[#This Row],Date]="","",ROW()-4)</f>
        <v>0</v>
      </c>
      <c r="B7" s="4">
        <v>45361</v>
      </c>
      <c r="C7" s="5" t="s">
        <v>106</v>
      </c>
      <c r="D7" s="5" t="s">
        <v>28</v>
      </c>
      <c r="E7" s="5" t="s">
        <v>16</v>
      </c>
      <c r="F7" s="5" t="s">
        <v>5</v>
      </c>
      <c r="G7" s="5" t="s">
        <v>32</v>
      </c>
      <c r="H7" s="5" t="s">
        <v>107</v>
      </c>
      <c r="I7" s="5" t="s">
        <v>37</v>
      </c>
      <c r="J7" s="5" t="s">
        <v>108</v>
      </c>
      <c r="L7">
        <f>IF([[#This Row],Date]="","",YEAR([[#This Row],Date]))</f>
        <v>0</v>
      </c>
      <c r="M7">
        <f>IF([[#This Row],Date]="","",TEXT([[#This Row],Date],"mmmm"))</f>
        <v>0</v>
      </c>
    </row>
    <row r="8" spans="1:13" ht="22" customHeight="1">
      <c r="A8">
        <f>IF([[#This Row],Date]="","",ROW()-4)</f>
        <v>0</v>
      </c>
      <c r="B8" s="6">
        <v>45404</v>
      </c>
      <c r="C8" s="7" t="s">
        <v>109</v>
      </c>
      <c r="D8" s="7" t="s">
        <v>25</v>
      </c>
      <c r="E8" s="7" t="s">
        <v>12</v>
      </c>
      <c r="F8" s="7" t="s">
        <v>1</v>
      </c>
      <c r="G8" s="7" t="s">
        <v>33</v>
      </c>
      <c r="H8" s="7" t="s">
        <v>110</v>
      </c>
      <c r="I8" s="7" t="s">
        <v>36</v>
      </c>
      <c r="J8" s="7" t="s">
        <v>111</v>
      </c>
      <c r="L8">
        <f>IF([[#This Row],Date]="","",YEAR([[#This Row],Date]))</f>
        <v>0</v>
      </c>
      <c r="M8">
        <f>IF([[#This Row],Date]="","",TEXT([[#This Row],Date],"mmmm"))</f>
        <v>0</v>
      </c>
    </row>
    <row r="9" spans="1:13" ht="22" customHeight="1">
      <c r="A9">
        <f>IF([[#This Row],Date]="","",ROW()-4)</f>
        <v>0</v>
      </c>
      <c r="B9" s="4">
        <v>45420</v>
      </c>
      <c r="C9" s="5" t="s">
        <v>112</v>
      </c>
      <c r="D9" s="5" t="s">
        <v>23</v>
      </c>
      <c r="E9" s="5" t="s">
        <v>15</v>
      </c>
      <c r="F9" s="5" t="s">
        <v>2</v>
      </c>
      <c r="G9" s="5" t="s">
        <v>30</v>
      </c>
      <c r="H9" s="5" t="s">
        <v>113</v>
      </c>
      <c r="I9" s="5" t="s">
        <v>38</v>
      </c>
      <c r="J9" s="5" t="s">
        <v>114</v>
      </c>
      <c r="K9" s="4">
        <v>45421</v>
      </c>
      <c r="L9">
        <f>IF([[#This Row],Date]="","",YEAR([[#This Row],Date]))</f>
        <v>0</v>
      </c>
      <c r="M9">
        <f>IF([[#This Row],Date]="","",TEXT([[#This Row],Date],"mmmm"))</f>
        <v>0</v>
      </c>
    </row>
    <row r="10" spans="1:13" ht="22" customHeight="1">
      <c r="A10">
        <f>IF([[#This Row],Date]="","",ROW()-4)</f>
        <v>0</v>
      </c>
      <c r="B10" s="6">
        <v>45426</v>
      </c>
      <c r="C10" s="7" t="s">
        <v>115</v>
      </c>
      <c r="D10" s="7" t="s">
        <v>21</v>
      </c>
      <c r="E10" s="7" t="s">
        <v>18</v>
      </c>
      <c r="F10" s="7" t="s">
        <v>10</v>
      </c>
      <c r="G10" s="7" t="s">
        <v>31</v>
      </c>
      <c r="H10" s="7" t="s">
        <v>116</v>
      </c>
      <c r="I10" s="7" t="s">
        <v>37</v>
      </c>
      <c r="J10" s="7" t="s">
        <v>117</v>
      </c>
      <c r="L10">
        <f>IF([[#This Row],Date]="","",YEAR([[#This Row],Date]))</f>
        <v>0</v>
      </c>
      <c r="M10">
        <f>IF([[#This Row],Date]="","",TEXT([[#This Row],Date],"mmmm"))</f>
        <v>0</v>
      </c>
    </row>
    <row r="11" spans="1:13" ht="22" customHeight="1">
      <c r="A11">
        <f>IF([[#This Row],Date]="","",ROW()-4)</f>
        <v>0</v>
      </c>
      <c r="B11" s="4">
        <v>45445</v>
      </c>
      <c r="C11" s="5" t="s">
        <v>118</v>
      </c>
      <c r="D11" s="5" t="s">
        <v>24</v>
      </c>
      <c r="E11" s="5" t="s">
        <v>17</v>
      </c>
      <c r="F11" s="5" t="s">
        <v>1</v>
      </c>
      <c r="G11" s="5" t="s">
        <v>32</v>
      </c>
      <c r="H11" s="5" t="s">
        <v>119</v>
      </c>
      <c r="I11" s="5" t="s">
        <v>36</v>
      </c>
      <c r="J11" s="5" t="s">
        <v>120</v>
      </c>
      <c r="L11">
        <f>IF([[#This Row],Date]="","",YEAR([[#This Row],Date]))</f>
        <v>0</v>
      </c>
      <c r="M11">
        <f>IF([[#This Row],Date]="","",TEXT([[#This Row],Date],"mmmm"))</f>
        <v>0</v>
      </c>
    </row>
    <row r="12" spans="1:13">
      <c r="A12">
        <f>IF([[#This Row],Date]="","",ROW()-4)</f>
        <v>0</v>
      </c>
      <c r="L12">
        <f>IF([[#This Row],Date]="","",YEAR([[#This Row],Date]))</f>
        <v>0</v>
      </c>
      <c r="M12">
        <f>IF([[#This Row],Date]="","",TEXT([[#This Row],Date],"mmmm"))</f>
        <v>0</v>
      </c>
    </row>
    <row r="13" spans="1:13">
      <c r="A13">
        <f>IF([[#This Row],Date]="","",ROW()-4)</f>
        <v>0</v>
      </c>
      <c r="L13">
        <f>IF([[#This Row],Date]="","",YEAR([[#This Row],Date]))</f>
        <v>0</v>
      </c>
      <c r="M13">
        <f>IF([[#This Row],Date]="","",TEXT([[#This Row],Date],"mmmm"))</f>
        <v>0</v>
      </c>
    </row>
    <row r="14" spans="1:13">
      <c r="A14">
        <f>IF([[#This Row],Date]="","",ROW()-4)</f>
        <v>0</v>
      </c>
      <c r="L14">
        <f>IF([[#This Row],Date]="","",YEAR([[#This Row],Date]))</f>
        <v>0</v>
      </c>
      <c r="M14">
        <f>IF([[#This Row],Date]="","",TEXT([[#This Row],Date],"mmmm"))</f>
        <v>0</v>
      </c>
    </row>
    <row r="15" spans="1:13">
      <c r="A15">
        <f>IF([[#This Row],Date]="","",ROW()-4)</f>
        <v>0</v>
      </c>
      <c r="L15">
        <f>IF([[#This Row],Date]="","",YEAR([[#This Row],Date]))</f>
        <v>0</v>
      </c>
      <c r="M15">
        <f>IF([[#This Row],Date]="","",TEXT([[#This Row],Date],"mmmm"))</f>
        <v>0</v>
      </c>
    </row>
    <row r="16" spans="1:13">
      <c r="A16">
        <f>IF([[#This Row],Date]="","",ROW()-4)</f>
        <v>0</v>
      </c>
      <c r="L16">
        <f>IF([[#This Row],Date]="","",YEAR([[#This Row],Date]))</f>
        <v>0</v>
      </c>
      <c r="M16">
        <f>IF([[#This Row],Date]="","",TEXT([[#This Row],Date],"mmmm"))</f>
        <v>0</v>
      </c>
    </row>
    <row r="17" spans="1:13">
      <c r="A17">
        <f>IF([[#This Row],Date]="","",ROW()-4)</f>
        <v>0</v>
      </c>
      <c r="L17">
        <f>IF([[#This Row],Date]="","",YEAR([[#This Row],Date]))</f>
        <v>0</v>
      </c>
      <c r="M17">
        <f>IF([[#This Row],Date]="","",TEXT([[#This Row],Date],"mmmm"))</f>
        <v>0</v>
      </c>
    </row>
    <row r="18" spans="1:13">
      <c r="A18">
        <f>IF([[#This Row],Date]="","",ROW()-4)</f>
        <v>0</v>
      </c>
      <c r="L18">
        <f>IF([[#This Row],Date]="","",YEAR([[#This Row],Date]))</f>
        <v>0</v>
      </c>
      <c r="M18">
        <f>IF([[#This Row],Date]="","",TEXT([[#This Row],Date],"mmmm"))</f>
        <v>0</v>
      </c>
    </row>
    <row r="19" spans="1:13">
      <c r="A19">
        <f>IF([[#This Row],Date]="","",ROW()-4)</f>
        <v>0</v>
      </c>
      <c r="L19">
        <f>IF([[#This Row],Date]="","",YEAR([[#This Row],Date]))</f>
        <v>0</v>
      </c>
      <c r="M19">
        <f>IF([[#This Row],Date]="","",TEXT([[#This Row],Date],"mmmm"))</f>
        <v>0</v>
      </c>
    </row>
    <row r="20" spans="1:13">
      <c r="A20">
        <f>IF([[#This Row],Date]="","",ROW()-4)</f>
        <v>0</v>
      </c>
      <c r="L20">
        <f>IF([[#This Row],Date]="","",YEAR([[#This Row],Date]))</f>
        <v>0</v>
      </c>
      <c r="M20">
        <f>IF([[#This Row],Date]="","",TEXT([[#This Row],Date],"mmmm"))</f>
        <v>0</v>
      </c>
    </row>
    <row r="21" spans="1:13">
      <c r="A21">
        <f>IF([[#This Row],Date]="","",ROW()-4)</f>
        <v>0</v>
      </c>
      <c r="L21">
        <f>IF([[#This Row],Date]="","",YEAR([[#This Row],Date]))</f>
        <v>0</v>
      </c>
      <c r="M21">
        <f>IF([[#This Row],Date]="","",TEXT([[#This Row],Date],"mmmm"))</f>
        <v>0</v>
      </c>
    </row>
    <row r="22" spans="1:13">
      <c r="A22">
        <f>IF([[#This Row],Date]="","",ROW()-4)</f>
        <v>0</v>
      </c>
      <c r="L22">
        <f>IF([[#This Row],Date]="","",YEAR([[#This Row],Date]))</f>
        <v>0</v>
      </c>
      <c r="M22">
        <f>IF([[#This Row],Date]="","",TEXT([[#This Row],Date],"mmmm"))</f>
        <v>0</v>
      </c>
    </row>
    <row r="23" spans="1:13">
      <c r="A23">
        <f>IF([[#This Row],Date]="","",ROW()-4)</f>
        <v>0</v>
      </c>
      <c r="L23">
        <f>IF([[#This Row],Date]="","",YEAR([[#This Row],Date]))</f>
        <v>0</v>
      </c>
      <c r="M23">
        <f>IF([[#This Row],Date]="","",TEXT([[#This Row],Date],"mmmm"))</f>
        <v>0</v>
      </c>
    </row>
    <row r="24" spans="1:13">
      <c r="A24">
        <f>IF([[#This Row],Date]="","",ROW()-4)</f>
        <v>0</v>
      </c>
      <c r="L24">
        <f>IF([[#This Row],Date]="","",YEAR([[#This Row],Date]))</f>
        <v>0</v>
      </c>
      <c r="M24">
        <f>IF([[#This Row],Date]="","",TEXT([[#This Row],Date],"mmmm"))</f>
        <v>0</v>
      </c>
    </row>
    <row r="25" spans="1:13">
      <c r="A25">
        <f>IF([[#This Row],Date]="","",ROW()-4)</f>
        <v>0</v>
      </c>
      <c r="L25">
        <f>IF([[#This Row],Date]="","",YEAR([[#This Row],Date]))</f>
        <v>0</v>
      </c>
      <c r="M25">
        <f>IF([[#This Row],Date]="","",TEXT([[#This Row],Date],"mmmm"))</f>
        <v>0</v>
      </c>
    </row>
    <row r="26" spans="1:13">
      <c r="A26">
        <f>IF([[#This Row],Date]="","",ROW()-4)</f>
        <v>0</v>
      </c>
      <c r="L26">
        <f>IF([[#This Row],Date]="","",YEAR([[#This Row],Date]))</f>
        <v>0</v>
      </c>
      <c r="M26">
        <f>IF([[#This Row],Date]="","",TEXT([[#This Row],Date],"mmmm"))</f>
        <v>0</v>
      </c>
    </row>
    <row r="27" spans="1:13">
      <c r="A27">
        <f>IF([[#This Row],Date]="","",ROW()-4)</f>
        <v>0</v>
      </c>
      <c r="L27">
        <f>IF([[#This Row],Date]="","",YEAR([[#This Row],Date]))</f>
        <v>0</v>
      </c>
      <c r="M27">
        <f>IF([[#This Row],Date]="","",TEXT([[#This Row],Date],"mmmm"))</f>
        <v>0</v>
      </c>
    </row>
    <row r="28" spans="1:13">
      <c r="A28">
        <f>IF([[#This Row],Date]="","",ROW()-4)</f>
        <v>0</v>
      </c>
      <c r="L28">
        <f>IF([[#This Row],Date]="","",YEAR([[#This Row],Date]))</f>
        <v>0</v>
      </c>
      <c r="M28">
        <f>IF([[#This Row],Date]="","",TEXT([[#This Row],Date],"mmmm"))</f>
        <v>0</v>
      </c>
    </row>
    <row r="29" spans="1:13">
      <c r="A29">
        <f>IF([[#This Row],Date]="","",ROW()-4)</f>
        <v>0</v>
      </c>
      <c r="L29">
        <f>IF([[#This Row],Date]="","",YEAR([[#This Row],Date]))</f>
        <v>0</v>
      </c>
      <c r="M29">
        <f>IF([[#This Row],Date]="","",TEXT([[#This Row],Date],"mmmm"))</f>
        <v>0</v>
      </c>
    </row>
    <row r="30" spans="1:13">
      <c r="A30">
        <f>IF([[#This Row],Date]="","",ROW()-4)</f>
        <v>0</v>
      </c>
      <c r="L30">
        <f>IF([[#This Row],Date]="","",YEAR([[#This Row],Date]))</f>
        <v>0</v>
      </c>
      <c r="M30">
        <f>IF([[#This Row],Date]="","",TEXT([[#This Row],Date],"mmmm"))</f>
        <v>0</v>
      </c>
    </row>
    <row r="31" spans="1:13">
      <c r="A31">
        <f>IF([[#This Row],Date]="","",ROW()-4)</f>
        <v>0</v>
      </c>
      <c r="L31">
        <f>IF([[#This Row],Date]="","",YEAR([[#This Row],Date]))</f>
        <v>0</v>
      </c>
      <c r="M31">
        <f>IF([[#This Row],Date]="","",TEXT([[#This Row],Date],"mmmm"))</f>
        <v>0</v>
      </c>
    </row>
    <row r="32" spans="1:13">
      <c r="A32">
        <f>IF([[#This Row],Date]="","",ROW()-4)</f>
        <v>0</v>
      </c>
      <c r="L32">
        <f>IF([[#This Row],Date]="","",YEAR([[#This Row],Date]))</f>
        <v>0</v>
      </c>
      <c r="M32">
        <f>IF([[#This Row],Date]="","",TEXT([[#This Row],Date],"mmmm"))</f>
        <v>0</v>
      </c>
    </row>
    <row r="33" spans="1:13">
      <c r="A33">
        <f>IF([[#This Row],Date]="","",ROW()-4)</f>
        <v>0</v>
      </c>
      <c r="L33">
        <f>IF([[#This Row],Date]="","",YEAR([[#This Row],Date]))</f>
        <v>0</v>
      </c>
      <c r="M33">
        <f>IF([[#This Row],Date]="","",TEXT([[#This Row],Date],"mmmm"))</f>
        <v>0</v>
      </c>
    </row>
    <row r="34" spans="1:13">
      <c r="A34">
        <f>IF([[#This Row],Date]="","",ROW()-4)</f>
        <v>0</v>
      </c>
      <c r="L34">
        <f>IF([[#This Row],Date]="","",YEAR([[#This Row],Date]))</f>
        <v>0</v>
      </c>
      <c r="M34">
        <f>IF([[#This Row],Date]="","",TEXT([[#This Row],Date],"mmmm"))</f>
        <v>0</v>
      </c>
    </row>
    <row r="35" spans="1:13">
      <c r="A35">
        <f>IF([[#This Row],Date]="","",ROW()-4)</f>
        <v>0</v>
      </c>
      <c r="L35">
        <f>IF([[#This Row],Date]="","",YEAR([[#This Row],Date]))</f>
        <v>0</v>
      </c>
      <c r="M35">
        <f>IF([[#This Row],Date]="","",TEXT([[#This Row],Date],"mmmm"))</f>
        <v>0</v>
      </c>
    </row>
    <row r="36" spans="1:13">
      <c r="A36">
        <f>IF([[#This Row],Date]="","",ROW()-4)</f>
        <v>0</v>
      </c>
      <c r="L36">
        <f>IF([[#This Row],Date]="","",YEAR([[#This Row],Date]))</f>
        <v>0</v>
      </c>
      <c r="M36">
        <f>IF([[#This Row],Date]="","",TEXT([[#This Row],Date],"mmmm"))</f>
        <v>0</v>
      </c>
    </row>
    <row r="37" spans="1:13">
      <c r="A37">
        <f>IF([[#This Row],Date]="","",ROW()-4)</f>
        <v>0</v>
      </c>
      <c r="L37">
        <f>IF([[#This Row],Date]="","",YEAR([[#This Row],Date]))</f>
        <v>0</v>
      </c>
      <c r="M37">
        <f>IF([[#This Row],Date]="","",TEXT([[#This Row],Date],"mmmm"))</f>
        <v>0</v>
      </c>
    </row>
    <row r="38" spans="1:13">
      <c r="A38">
        <f>IF([[#This Row],Date]="","",ROW()-4)</f>
        <v>0</v>
      </c>
      <c r="L38">
        <f>IF([[#This Row],Date]="","",YEAR([[#This Row],Date]))</f>
        <v>0</v>
      </c>
      <c r="M38">
        <f>IF([[#This Row],Date]="","",TEXT([[#This Row],Date],"mmmm"))</f>
        <v>0</v>
      </c>
    </row>
    <row r="39" spans="1:13">
      <c r="A39">
        <f>IF([[#This Row],Date]="","",ROW()-4)</f>
        <v>0</v>
      </c>
      <c r="L39">
        <f>IF([[#This Row],Date]="","",YEAR([[#This Row],Date]))</f>
        <v>0</v>
      </c>
      <c r="M39">
        <f>IF([[#This Row],Date]="","",TEXT([[#This Row],Date],"mmmm"))</f>
        <v>0</v>
      </c>
    </row>
    <row r="40" spans="1:13">
      <c r="A40">
        <f>IF([[#This Row],Date]="","",ROW()-4)</f>
        <v>0</v>
      </c>
      <c r="L40">
        <f>IF([[#This Row],Date]="","",YEAR([[#This Row],Date]))</f>
        <v>0</v>
      </c>
      <c r="M40">
        <f>IF([[#This Row],Date]="","",TEXT([[#This Row],Date],"mmmm"))</f>
        <v>0</v>
      </c>
    </row>
    <row r="41" spans="1:13">
      <c r="A41">
        <f>IF([[#This Row],Date]="","",ROW()-4)</f>
        <v>0</v>
      </c>
      <c r="L41">
        <f>IF([[#This Row],Date]="","",YEAR([[#This Row],Date]))</f>
        <v>0</v>
      </c>
      <c r="M41">
        <f>IF([[#This Row],Date]="","",TEXT([[#This Row],Date],"mmmm"))</f>
        <v>0</v>
      </c>
    </row>
    <row r="42" spans="1:13">
      <c r="A42">
        <f>IF([[#This Row],Date]="","",ROW()-4)</f>
        <v>0</v>
      </c>
      <c r="L42">
        <f>IF([[#This Row],Date]="","",YEAR([[#This Row],Date]))</f>
        <v>0</v>
      </c>
      <c r="M42">
        <f>IF([[#This Row],Date]="","",TEXT([[#This Row],Date],"mmmm"))</f>
        <v>0</v>
      </c>
    </row>
    <row r="43" spans="1:13">
      <c r="A43">
        <f>IF([[#This Row],Date]="","",ROW()-4)</f>
        <v>0</v>
      </c>
      <c r="L43">
        <f>IF([[#This Row],Date]="","",YEAR([[#This Row],Date]))</f>
        <v>0</v>
      </c>
      <c r="M43">
        <f>IF([[#This Row],Date]="","",TEXT([[#This Row],Date],"mmmm"))</f>
        <v>0</v>
      </c>
    </row>
    <row r="44" spans="1:13">
      <c r="A44">
        <f>IF([[#This Row],Date]="","",ROW()-4)</f>
        <v>0</v>
      </c>
      <c r="L44">
        <f>IF([[#This Row],Date]="","",YEAR([[#This Row],Date]))</f>
        <v>0</v>
      </c>
      <c r="M44">
        <f>IF([[#This Row],Date]="","",TEXT([[#This Row],Date],"mmmm"))</f>
        <v>0</v>
      </c>
    </row>
    <row r="45" spans="1:13">
      <c r="A45">
        <f>IF([[#This Row],Date]="","",ROW()-4)</f>
        <v>0</v>
      </c>
      <c r="L45">
        <f>IF([[#This Row],Date]="","",YEAR([[#This Row],Date]))</f>
        <v>0</v>
      </c>
      <c r="M45">
        <f>IF([[#This Row],Date]="","",TEXT([[#This Row],Date],"mmmm"))</f>
        <v>0</v>
      </c>
    </row>
    <row r="46" spans="1:13">
      <c r="A46">
        <f>IF([[#This Row],Date]="","",ROW()-4)</f>
        <v>0</v>
      </c>
      <c r="L46">
        <f>IF([[#This Row],Date]="","",YEAR([[#This Row],Date]))</f>
        <v>0</v>
      </c>
      <c r="M46">
        <f>IF([[#This Row],Date]="","",TEXT([[#This Row],Date],"mmmm"))</f>
        <v>0</v>
      </c>
    </row>
    <row r="47" spans="1:13">
      <c r="A47">
        <f>IF([[#This Row],Date]="","",ROW()-4)</f>
        <v>0</v>
      </c>
      <c r="L47">
        <f>IF([[#This Row],Date]="","",YEAR([[#This Row],Date]))</f>
        <v>0</v>
      </c>
      <c r="M47">
        <f>IF([[#This Row],Date]="","",TEXT([[#This Row],Date],"mmmm"))</f>
        <v>0</v>
      </c>
    </row>
    <row r="48" spans="1:13">
      <c r="A48">
        <f>IF([[#This Row],Date]="","",ROW()-4)</f>
        <v>0</v>
      </c>
      <c r="L48">
        <f>IF([[#This Row],Date]="","",YEAR([[#This Row],Date]))</f>
        <v>0</v>
      </c>
      <c r="M48">
        <f>IF([[#This Row],Date]="","",TEXT([[#This Row],Date],"mmmm"))</f>
        <v>0</v>
      </c>
    </row>
    <row r="49" spans="1:13">
      <c r="A49">
        <f>IF([[#This Row],Date]="","",ROW()-4)</f>
        <v>0</v>
      </c>
      <c r="L49">
        <f>IF([[#This Row],Date]="","",YEAR([[#This Row],Date]))</f>
        <v>0</v>
      </c>
      <c r="M49">
        <f>IF([[#This Row],Date]="","",TEXT([[#This Row],Date],"mmmm"))</f>
        <v>0</v>
      </c>
    </row>
    <row r="50" spans="1:13">
      <c r="A50">
        <f>IF([[#This Row],Date]="","",ROW()-4)</f>
        <v>0</v>
      </c>
      <c r="L50">
        <f>IF([[#This Row],Date]="","",YEAR([[#This Row],Date]))</f>
        <v>0</v>
      </c>
      <c r="M50">
        <f>IF([[#This Row],Date]="","",TEXT([[#This Row],Date],"mmmm"))</f>
        <v>0</v>
      </c>
    </row>
    <row r="51" spans="1:13">
      <c r="A51">
        <f>IF([[#This Row],Date]="","",ROW()-4)</f>
        <v>0</v>
      </c>
      <c r="L51">
        <f>IF([[#This Row],Date]="","",YEAR([[#This Row],Date]))</f>
        <v>0</v>
      </c>
      <c r="M51">
        <f>IF([[#This Row],Date]="","",TEXT([[#This Row],Date],"mmmm"))</f>
        <v>0</v>
      </c>
    </row>
    <row r="52" spans="1:13">
      <c r="A52">
        <f>IF([[#This Row],Date]="","",ROW()-4)</f>
        <v>0</v>
      </c>
      <c r="L52">
        <f>IF([[#This Row],Date]="","",YEAR([[#This Row],Date]))</f>
        <v>0</v>
      </c>
      <c r="M52">
        <f>IF([[#This Row],Date]="","",TEXT([[#This Row],Date],"mmmm"))</f>
        <v>0</v>
      </c>
    </row>
    <row r="53" spans="1:13">
      <c r="A53">
        <f>IF([[#This Row],Date]="","",ROW()-4)</f>
        <v>0</v>
      </c>
      <c r="L53">
        <f>IF([[#This Row],Date]="","",YEAR([[#This Row],Date]))</f>
        <v>0</v>
      </c>
      <c r="M53">
        <f>IF([[#This Row],Date]="","",TEXT([[#This Row],Date],"mmmm"))</f>
        <v>0</v>
      </c>
    </row>
    <row r="54" spans="1:13">
      <c r="A54">
        <f>IF([[#This Row],Date]="","",ROW()-4)</f>
        <v>0</v>
      </c>
      <c r="L54">
        <f>IF([[#This Row],Date]="","",YEAR([[#This Row],Date]))</f>
        <v>0</v>
      </c>
      <c r="M54">
        <f>IF([[#This Row],Date]="","",TEXT([[#This Row],Date],"mmmm"))</f>
        <v>0</v>
      </c>
    </row>
    <row r="55" spans="1:13">
      <c r="A55">
        <f>IF([[#This Row],Date]="","",ROW()-4)</f>
        <v>0</v>
      </c>
      <c r="L55">
        <f>IF([[#This Row],Date]="","",YEAR([[#This Row],Date]))</f>
        <v>0</v>
      </c>
      <c r="M55">
        <f>IF([[#This Row],Date]="","",TEXT([[#This Row],Date],"mmmm"))</f>
        <v>0</v>
      </c>
    </row>
    <row r="56" spans="1:13">
      <c r="A56">
        <f>IF([[#This Row],Date]="","",ROW()-4)</f>
        <v>0</v>
      </c>
      <c r="L56">
        <f>IF([[#This Row],Date]="","",YEAR([[#This Row],Date]))</f>
        <v>0</v>
      </c>
      <c r="M56">
        <f>IF([[#This Row],Date]="","",TEXT([[#This Row],Date],"mmmm"))</f>
        <v>0</v>
      </c>
    </row>
    <row r="57" spans="1:13">
      <c r="A57">
        <f>IF([[#This Row],Date]="","",ROW()-4)</f>
        <v>0</v>
      </c>
      <c r="L57">
        <f>IF([[#This Row],Date]="","",YEAR([[#This Row],Date]))</f>
        <v>0</v>
      </c>
      <c r="M57">
        <f>IF([[#This Row],Date]="","",TEXT([[#This Row],Date],"mmmm"))</f>
        <v>0</v>
      </c>
    </row>
    <row r="58" spans="1:13">
      <c r="A58">
        <f>IF([[#This Row],Date]="","",ROW()-4)</f>
        <v>0</v>
      </c>
      <c r="L58">
        <f>IF([[#This Row],Date]="","",YEAR([[#This Row],Date]))</f>
        <v>0</v>
      </c>
      <c r="M58">
        <f>IF([[#This Row],Date]="","",TEXT([[#This Row],Date],"mmmm"))</f>
        <v>0</v>
      </c>
    </row>
    <row r="59" spans="1:13">
      <c r="A59">
        <f>IF([[#This Row],Date]="","",ROW()-4)</f>
        <v>0</v>
      </c>
      <c r="L59">
        <f>IF([[#This Row],Date]="","",YEAR([[#This Row],Date]))</f>
        <v>0</v>
      </c>
      <c r="M59">
        <f>IF([[#This Row],Date]="","",TEXT([[#This Row],Date],"mmmm"))</f>
        <v>0</v>
      </c>
    </row>
    <row r="60" spans="1:13">
      <c r="A60">
        <f>IF([[#This Row],Date]="","",ROW()-4)</f>
        <v>0</v>
      </c>
      <c r="L60">
        <f>IF([[#This Row],Date]="","",YEAR([[#This Row],Date]))</f>
        <v>0</v>
      </c>
      <c r="M60">
        <f>IF([[#This Row],Date]="","",TEXT([[#This Row],Date],"mmmm"))</f>
        <v>0</v>
      </c>
    </row>
    <row r="61" spans="1:13">
      <c r="A61">
        <f>IF([[#This Row],Date]="","",ROW()-4)</f>
        <v>0</v>
      </c>
      <c r="L61">
        <f>IF([[#This Row],Date]="","",YEAR([[#This Row],Date]))</f>
        <v>0</v>
      </c>
      <c r="M61">
        <f>IF([[#This Row],Date]="","",TEXT([[#This Row],Date],"mmmm"))</f>
        <v>0</v>
      </c>
    </row>
    <row r="62" spans="1:13">
      <c r="A62">
        <f>IF([[#This Row],Date]="","",ROW()-4)</f>
        <v>0</v>
      </c>
      <c r="L62">
        <f>IF([[#This Row],Date]="","",YEAR([[#This Row],Date]))</f>
        <v>0</v>
      </c>
      <c r="M62">
        <f>IF([[#This Row],Date]="","",TEXT([[#This Row],Date],"mmmm"))</f>
        <v>0</v>
      </c>
    </row>
    <row r="63" spans="1:13">
      <c r="A63">
        <f>IF([[#This Row],Date]="","",ROW()-4)</f>
        <v>0</v>
      </c>
      <c r="L63">
        <f>IF([[#This Row],Date]="","",YEAR([[#This Row],Date]))</f>
        <v>0</v>
      </c>
      <c r="M63">
        <f>IF([[#This Row],Date]="","",TEXT([[#This Row],Date],"mmmm"))</f>
        <v>0</v>
      </c>
    </row>
    <row r="64" spans="1:13">
      <c r="A64">
        <f>IF([[#This Row],Date]="","",ROW()-4)</f>
        <v>0</v>
      </c>
      <c r="L64">
        <f>IF([[#This Row],Date]="","",YEAR([[#This Row],Date]))</f>
        <v>0</v>
      </c>
      <c r="M64">
        <f>IF([[#This Row],Date]="","",TEXT([[#This Row],Date],"mmmm"))</f>
        <v>0</v>
      </c>
    </row>
    <row r="65" spans="1:13">
      <c r="A65">
        <f>IF([[#This Row],Date]="","",ROW()-4)</f>
        <v>0</v>
      </c>
      <c r="L65">
        <f>IF([[#This Row],Date]="","",YEAR([[#This Row],Date]))</f>
        <v>0</v>
      </c>
      <c r="M65">
        <f>IF([[#This Row],Date]="","",TEXT([[#This Row],Date],"mmmm"))</f>
        <v>0</v>
      </c>
    </row>
    <row r="66" spans="1:13">
      <c r="A66">
        <f>IF([[#This Row],Date]="","",ROW()-4)</f>
        <v>0</v>
      </c>
      <c r="L66">
        <f>IF([[#This Row],Date]="","",YEAR([[#This Row],Date]))</f>
        <v>0</v>
      </c>
      <c r="M66">
        <f>IF([[#This Row],Date]="","",TEXT([[#This Row],Date],"mmmm"))</f>
        <v>0</v>
      </c>
    </row>
    <row r="67" spans="1:13">
      <c r="A67">
        <f>IF([[#This Row],Date]="","",ROW()-4)</f>
        <v>0</v>
      </c>
      <c r="L67">
        <f>IF([[#This Row],Date]="","",YEAR([[#This Row],Date]))</f>
        <v>0</v>
      </c>
      <c r="M67">
        <f>IF([[#This Row],Date]="","",TEXT([[#This Row],Date],"mmmm"))</f>
        <v>0</v>
      </c>
    </row>
    <row r="68" spans="1:13">
      <c r="A68">
        <f>IF([[#This Row],Date]="","",ROW()-4)</f>
        <v>0</v>
      </c>
      <c r="L68">
        <f>IF([[#This Row],Date]="","",YEAR([[#This Row],Date]))</f>
        <v>0</v>
      </c>
      <c r="M68">
        <f>IF([[#This Row],Date]="","",TEXT([[#This Row],Date],"mmmm"))</f>
        <v>0</v>
      </c>
    </row>
    <row r="69" spans="1:13">
      <c r="A69">
        <f>IF([[#This Row],Date]="","",ROW()-4)</f>
        <v>0</v>
      </c>
      <c r="L69">
        <f>IF([[#This Row],Date]="","",YEAR([[#This Row],Date]))</f>
        <v>0</v>
      </c>
      <c r="M69">
        <f>IF([[#This Row],Date]="","",TEXT([[#This Row],Date],"mmmm"))</f>
        <v>0</v>
      </c>
    </row>
    <row r="70" spans="1:13">
      <c r="A70">
        <f>IF([[#This Row],Date]="","",ROW()-4)</f>
        <v>0</v>
      </c>
      <c r="L70">
        <f>IF([[#This Row],Date]="","",YEAR([[#This Row],Date]))</f>
        <v>0</v>
      </c>
      <c r="M70">
        <f>IF([[#This Row],Date]="","",TEXT([[#This Row],Date],"mmmm"))</f>
        <v>0</v>
      </c>
    </row>
    <row r="71" spans="1:13">
      <c r="A71">
        <f>IF([[#This Row],Date]="","",ROW()-4)</f>
        <v>0</v>
      </c>
      <c r="L71">
        <f>IF([[#This Row],Date]="","",YEAR([[#This Row],Date]))</f>
        <v>0</v>
      </c>
      <c r="M71">
        <f>IF([[#This Row],Date]="","",TEXT([[#This Row],Date],"mmmm"))</f>
        <v>0</v>
      </c>
    </row>
    <row r="72" spans="1:13">
      <c r="A72">
        <f>IF([[#This Row],Date]="","",ROW()-4)</f>
        <v>0</v>
      </c>
      <c r="L72">
        <f>IF([[#This Row],Date]="","",YEAR([[#This Row],Date]))</f>
        <v>0</v>
      </c>
      <c r="M72">
        <f>IF([[#This Row],Date]="","",TEXT([[#This Row],Date],"mmmm"))</f>
        <v>0</v>
      </c>
    </row>
    <row r="73" spans="1:13">
      <c r="A73">
        <f>IF([[#This Row],Date]="","",ROW()-4)</f>
        <v>0</v>
      </c>
      <c r="L73">
        <f>IF([[#This Row],Date]="","",YEAR([[#This Row],Date]))</f>
        <v>0</v>
      </c>
      <c r="M73">
        <f>IF([[#This Row],Date]="","",TEXT([[#This Row],Date],"mmmm"))</f>
        <v>0</v>
      </c>
    </row>
    <row r="74" spans="1:13">
      <c r="A74">
        <f>IF([[#This Row],Date]="","",ROW()-4)</f>
        <v>0</v>
      </c>
      <c r="L74">
        <f>IF([[#This Row],Date]="","",YEAR([[#This Row],Date]))</f>
        <v>0</v>
      </c>
      <c r="M74">
        <f>IF([[#This Row],Date]="","",TEXT([[#This Row],Date],"mmmm"))</f>
        <v>0</v>
      </c>
    </row>
    <row r="75" spans="1:13">
      <c r="A75">
        <f>IF([[#This Row],Date]="","",ROW()-4)</f>
        <v>0</v>
      </c>
      <c r="L75">
        <f>IF([[#This Row],Date]="","",YEAR([[#This Row],Date]))</f>
        <v>0</v>
      </c>
      <c r="M75">
        <f>IF([[#This Row],Date]="","",TEXT([[#This Row],Date],"mmmm"))</f>
        <v>0</v>
      </c>
    </row>
    <row r="76" spans="1:13">
      <c r="A76">
        <f>IF([[#This Row],Date]="","",ROW()-4)</f>
        <v>0</v>
      </c>
      <c r="L76">
        <f>IF([[#This Row],Date]="","",YEAR([[#This Row],Date]))</f>
        <v>0</v>
      </c>
      <c r="M76">
        <f>IF([[#This Row],Date]="","",TEXT([[#This Row],Date],"mmmm"))</f>
        <v>0</v>
      </c>
    </row>
    <row r="77" spans="1:13">
      <c r="A77">
        <f>IF([[#This Row],Date]="","",ROW()-4)</f>
        <v>0</v>
      </c>
      <c r="L77">
        <f>IF([[#This Row],Date]="","",YEAR([[#This Row],Date]))</f>
        <v>0</v>
      </c>
      <c r="M77">
        <f>IF([[#This Row],Date]="","",TEXT([[#This Row],Date],"mmmm"))</f>
        <v>0</v>
      </c>
    </row>
    <row r="78" spans="1:13">
      <c r="A78">
        <f>IF([[#This Row],Date]="","",ROW()-4)</f>
        <v>0</v>
      </c>
      <c r="L78">
        <f>IF([[#This Row],Date]="","",YEAR([[#This Row],Date]))</f>
        <v>0</v>
      </c>
      <c r="M78">
        <f>IF([[#This Row],Date]="","",TEXT([[#This Row],Date],"mmmm"))</f>
        <v>0</v>
      </c>
    </row>
    <row r="79" spans="1:13">
      <c r="A79">
        <f>IF([[#This Row],Date]="","",ROW()-4)</f>
        <v>0</v>
      </c>
      <c r="L79">
        <f>IF([[#This Row],Date]="","",YEAR([[#This Row],Date]))</f>
        <v>0</v>
      </c>
      <c r="M79">
        <f>IF([[#This Row],Date]="","",TEXT([[#This Row],Date],"mmmm"))</f>
        <v>0</v>
      </c>
    </row>
    <row r="80" spans="1:13">
      <c r="A80">
        <f>IF([[#This Row],Date]="","",ROW()-4)</f>
        <v>0</v>
      </c>
      <c r="L80">
        <f>IF([[#This Row],Date]="","",YEAR([[#This Row],Date]))</f>
        <v>0</v>
      </c>
      <c r="M80">
        <f>IF([[#This Row],Date]="","",TEXT([[#This Row],Date],"mmmm"))</f>
        <v>0</v>
      </c>
    </row>
    <row r="81" spans="1:13">
      <c r="A81">
        <f>IF([[#This Row],Date]="","",ROW()-4)</f>
        <v>0</v>
      </c>
      <c r="L81">
        <f>IF([[#This Row],Date]="","",YEAR([[#This Row],Date]))</f>
        <v>0</v>
      </c>
      <c r="M81">
        <f>IF([[#This Row],Date]="","",TEXT([[#This Row],Date],"mmmm"))</f>
        <v>0</v>
      </c>
    </row>
    <row r="82" spans="1:13">
      <c r="A82">
        <f>IF([[#This Row],Date]="","",ROW()-4)</f>
        <v>0</v>
      </c>
      <c r="L82">
        <f>IF([[#This Row],Date]="","",YEAR([[#This Row],Date]))</f>
        <v>0</v>
      </c>
      <c r="M82">
        <f>IF([[#This Row],Date]="","",TEXT([[#This Row],Date],"mmmm"))</f>
        <v>0</v>
      </c>
    </row>
    <row r="83" spans="1:13">
      <c r="A83">
        <f>IF([[#This Row],Date]="","",ROW()-4)</f>
        <v>0</v>
      </c>
      <c r="L83">
        <f>IF([[#This Row],Date]="","",YEAR([[#This Row],Date]))</f>
        <v>0</v>
      </c>
      <c r="M83">
        <f>IF([[#This Row],Date]="","",TEXT([[#This Row],Date],"mmmm"))</f>
        <v>0</v>
      </c>
    </row>
    <row r="84" spans="1:13">
      <c r="A84">
        <f>IF([[#This Row],Date]="","",ROW()-4)</f>
        <v>0</v>
      </c>
      <c r="L84">
        <f>IF([[#This Row],Date]="","",YEAR([[#This Row],Date]))</f>
        <v>0</v>
      </c>
      <c r="M84">
        <f>IF([[#This Row],Date]="","",TEXT([[#This Row],Date],"mmmm"))</f>
        <v>0</v>
      </c>
    </row>
    <row r="85" spans="1:13">
      <c r="A85">
        <f>IF([[#This Row],Date]="","",ROW()-4)</f>
        <v>0</v>
      </c>
      <c r="L85">
        <f>IF([[#This Row],Date]="","",YEAR([[#This Row],Date]))</f>
        <v>0</v>
      </c>
      <c r="M85">
        <f>IF([[#This Row],Date]="","",TEXT([[#This Row],Date],"mmmm"))</f>
        <v>0</v>
      </c>
    </row>
    <row r="86" spans="1:13">
      <c r="A86">
        <f>IF([[#This Row],Date]="","",ROW()-4)</f>
        <v>0</v>
      </c>
      <c r="L86">
        <f>IF([[#This Row],Date]="","",YEAR([[#This Row],Date]))</f>
        <v>0</v>
      </c>
      <c r="M86">
        <f>IF([[#This Row],Date]="","",TEXT([[#This Row],Date],"mmmm"))</f>
        <v>0</v>
      </c>
    </row>
    <row r="87" spans="1:13">
      <c r="A87">
        <f>IF([[#This Row],Date]="","",ROW()-4)</f>
        <v>0</v>
      </c>
      <c r="L87">
        <f>IF([[#This Row],Date]="","",YEAR([[#This Row],Date]))</f>
        <v>0</v>
      </c>
      <c r="M87">
        <f>IF([[#This Row],Date]="","",TEXT([[#This Row],Date],"mmmm"))</f>
        <v>0</v>
      </c>
    </row>
    <row r="88" spans="1:13">
      <c r="A88">
        <f>IF([[#This Row],Date]="","",ROW()-4)</f>
        <v>0</v>
      </c>
      <c r="L88">
        <f>IF([[#This Row],Date]="","",YEAR([[#This Row],Date]))</f>
        <v>0</v>
      </c>
      <c r="M88">
        <f>IF([[#This Row],Date]="","",TEXT([[#This Row],Date],"mmmm"))</f>
        <v>0</v>
      </c>
    </row>
    <row r="89" spans="1:13">
      <c r="A89">
        <f>IF([[#This Row],Date]="","",ROW()-4)</f>
        <v>0</v>
      </c>
      <c r="L89">
        <f>IF([[#This Row],Date]="","",YEAR([[#This Row],Date]))</f>
        <v>0</v>
      </c>
      <c r="M89">
        <f>IF([[#This Row],Date]="","",TEXT([[#This Row],Date],"mmmm"))</f>
        <v>0</v>
      </c>
    </row>
    <row r="90" spans="1:13">
      <c r="A90">
        <f>IF([[#This Row],Date]="","",ROW()-4)</f>
        <v>0</v>
      </c>
      <c r="L90">
        <f>IF([[#This Row],Date]="","",YEAR([[#This Row],Date]))</f>
        <v>0</v>
      </c>
      <c r="M90">
        <f>IF([[#This Row],Date]="","",TEXT([[#This Row],Date],"mmmm"))</f>
        <v>0</v>
      </c>
    </row>
    <row r="91" spans="1:13">
      <c r="A91">
        <f>IF([[#This Row],Date]="","",ROW()-4)</f>
        <v>0</v>
      </c>
      <c r="L91">
        <f>IF([[#This Row],Date]="","",YEAR([[#This Row],Date]))</f>
        <v>0</v>
      </c>
      <c r="M91">
        <f>IF([[#This Row],Date]="","",TEXT([[#This Row],Date],"mmmm"))</f>
        <v>0</v>
      </c>
    </row>
    <row r="92" spans="1:13">
      <c r="A92">
        <f>IF([[#This Row],Date]="","",ROW()-4)</f>
        <v>0</v>
      </c>
      <c r="L92">
        <f>IF([[#This Row],Date]="","",YEAR([[#This Row],Date]))</f>
        <v>0</v>
      </c>
      <c r="M92">
        <f>IF([[#This Row],Date]="","",TEXT([[#This Row],Date],"mmmm"))</f>
        <v>0</v>
      </c>
    </row>
    <row r="93" spans="1:13">
      <c r="A93">
        <f>IF([[#This Row],Date]="","",ROW()-4)</f>
        <v>0</v>
      </c>
      <c r="L93">
        <f>IF([[#This Row],Date]="","",YEAR([[#This Row],Date]))</f>
        <v>0</v>
      </c>
      <c r="M93">
        <f>IF([[#This Row],Date]="","",TEXT([[#This Row],Date],"mmmm"))</f>
        <v>0</v>
      </c>
    </row>
    <row r="94" spans="1:13">
      <c r="A94">
        <f>IF([[#This Row],Date]="","",ROW()-4)</f>
        <v>0</v>
      </c>
      <c r="L94">
        <f>IF([[#This Row],Date]="","",YEAR([[#This Row],Date]))</f>
        <v>0</v>
      </c>
      <c r="M94">
        <f>IF([[#This Row],Date]="","",TEXT([[#This Row],Date],"mmmm"))</f>
        <v>0</v>
      </c>
    </row>
    <row r="95" spans="1:13">
      <c r="A95">
        <f>IF([[#This Row],Date]="","",ROW()-4)</f>
        <v>0</v>
      </c>
      <c r="L95">
        <f>IF([[#This Row],Date]="","",YEAR([[#This Row],Date]))</f>
        <v>0</v>
      </c>
      <c r="M95">
        <f>IF([[#This Row],Date]="","",TEXT([[#This Row],Date],"mmmm"))</f>
        <v>0</v>
      </c>
    </row>
    <row r="96" spans="1:13">
      <c r="A96">
        <f>IF([[#This Row],Date]="","",ROW()-4)</f>
        <v>0</v>
      </c>
      <c r="L96">
        <f>IF([[#This Row],Date]="","",YEAR([[#This Row],Date]))</f>
        <v>0</v>
      </c>
      <c r="M96">
        <f>IF([[#This Row],Date]="","",TEXT([[#This Row],Date],"mmmm"))</f>
        <v>0</v>
      </c>
    </row>
    <row r="97" spans="1:13">
      <c r="A97">
        <f>IF([[#This Row],Date]="","",ROW()-4)</f>
        <v>0</v>
      </c>
      <c r="L97">
        <f>IF([[#This Row],Date]="","",YEAR([[#This Row],Date]))</f>
        <v>0</v>
      </c>
      <c r="M97">
        <f>IF([[#This Row],Date]="","",TEXT([[#This Row],Date],"mmmm"))</f>
        <v>0</v>
      </c>
    </row>
    <row r="98" spans="1:13">
      <c r="A98">
        <f>IF([[#This Row],Date]="","",ROW()-4)</f>
        <v>0</v>
      </c>
      <c r="L98">
        <f>IF([[#This Row],Date]="","",YEAR([[#This Row],Date]))</f>
        <v>0</v>
      </c>
      <c r="M98">
        <f>IF([[#This Row],Date]="","",TEXT([[#This Row],Date],"mmmm"))</f>
        <v>0</v>
      </c>
    </row>
    <row r="99" spans="1:13">
      <c r="A99">
        <f>IF([[#This Row],Date]="","",ROW()-4)</f>
        <v>0</v>
      </c>
      <c r="L99">
        <f>IF([[#This Row],Date]="","",YEAR([[#This Row],Date]))</f>
        <v>0</v>
      </c>
      <c r="M99">
        <f>IF([[#This Row],Date]="","",TEXT([[#This Row],Date],"mmmm"))</f>
        <v>0</v>
      </c>
    </row>
    <row r="100" spans="1:13">
      <c r="A100">
        <f>IF([[#This Row],Date]="","",ROW()-4)</f>
        <v>0</v>
      </c>
      <c r="L100">
        <f>IF([[#This Row],Date]="","",YEAR([[#This Row],Date]))</f>
        <v>0</v>
      </c>
      <c r="M100">
        <f>IF([[#This Row],Date]="","",TEXT([[#This Row],Date],"mmmm"))</f>
        <v>0</v>
      </c>
    </row>
    <row r="101" spans="1:13">
      <c r="A101">
        <f>IF([[#This Row],Date]="","",ROW()-4)</f>
        <v>0</v>
      </c>
      <c r="L101">
        <f>IF([[#This Row],Date]="","",YEAR([[#This Row],Date]))</f>
        <v>0</v>
      </c>
      <c r="M101">
        <f>IF([[#This Row],Date]="","",TEXT([[#This Row],Date],"mmmm"))</f>
        <v>0</v>
      </c>
    </row>
    <row r="102" spans="1:13">
      <c r="A102">
        <f>IF([[#This Row],Date]="","",ROW()-4)</f>
        <v>0</v>
      </c>
      <c r="L102">
        <f>IF([[#This Row],Date]="","",YEAR([[#This Row],Date]))</f>
        <v>0</v>
      </c>
      <c r="M102">
        <f>IF([[#This Row],Date]="","",TEXT([[#This Row],Date],"mmmm"))</f>
        <v>0</v>
      </c>
    </row>
    <row r="103" spans="1:13">
      <c r="A103">
        <f>IF([[#This Row],Date]="","",ROW()-4)</f>
        <v>0</v>
      </c>
      <c r="L103">
        <f>IF([[#This Row],Date]="","",YEAR([[#This Row],Date]))</f>
        <v>0</v>
      </c>
      <c r="M103">
        <f>IF([[#This Row],Date]="","",TEXT([[#This Row],Date],"mmmm"))</f>
        <v>0</v>
      </c>
    </row>
    <row r="104" spans="1:13">
      <c r="A104">
        <f>IF([[#This Row],Date]="","",ROW()-4)</f>
        <v>0</v>
      </c>
      <c r="L104">
        <f>IF([[#This Row],Date]="","",YEAR([[#This Row],Date]))</f>
        <v>0</v>
      </c>
      <c r="M104">
        <f>IF([[#This Row],Date]="","",TEXT([[#This Row],Date],"mmmm"))</f>
        <v>0</v>
      </c>
    </row>
    <row r="105" spans="1:13">
      <c r="A105">
        <f>IF([[#This Row],Date]="","",ROW()-4)</f>
        <v>0</v>
      </c>
      <c r="L105">
        <f>IF([[#This Row],Date]="","",YEAR([[#This Row],Date]))</f>
        <v>0</v>
      </c>
      <c r="M105">
        <f>IF([[#This Row],Date]="","",TEXT([[#This Row],Date],"mmmm"))</f>
        <v>0</v>
      </c>
    </row>
    <row r="106" spans="1:13">
      <c r="A106">
        <f>IF([[#This Row],Date]="","",ROW()-4)</f>
        <v>0</v>
      </c>
      <c r="L106">
        <f>IF([[#This Row],Date]="","",YEAR([[#This Row],Date]))</f>
        <v>0</v>
      </c>
      <c r="M106">
        <f>IF([[#This Row],Date]="","",TEXT([[#This Row],Date],"mmmm"))</f>
        <v>0</v>
      </c>
    </row>
    <row r="107" spans="1:13">
      <c r="A107">
        <f>IF([[#This Row],Date]="","",ROW()-4)</f>
        <v>0</v>
      </c>
      <c r="L107">
        <f>IF([[#This Row],Date]="","",YEAR([[#This Row],Date]))</f>
        <v>0</v>
      </c>
      <c r="M107">
        <f>IF([[#This Row],Date]="","",TEXT([[#This Row],Date],"mmmm"))</f>
        <v>0</v>
      </c>
    </row>
    <row r="108" spans="1:13">
      <c r="A108">
        <f>IF([[#This Row],Date]="","",ROW()-4)</f>
        <v>0</v>
      </c>
      <c r="L108">
        <f>IF([[#This Row],Date]="","",YEAR([[#This Row],Date]))</f>
        <v>0</v>
      </c>
      <c r="M108">
        <f>IF([[#This Row],Date]="","",TEXT([[#This Row],Date],"mmmm"))</f>
        <v>0</v>
      </c>
    </row>
    <row r="109" spans="1:13">
      <c r="A109">
        <f>IF([[#This Row],Date]="","",ROW()-4)</f>
        <v>0</v>
      </c>
      <c r="L109">
        <f>IF([[#This Row],Date]="","",YEAR([[#This Row],Date]))</f>
        <v>0</v>
      </c>
      <c r="M109">
        <f>IF([[#This Row],Date]="","",TEXT([[#This Row],Date],"mmmm"))</f>
        <v>0</v>
      </c>
    </row>
    <row r="110" spans="1:13">
      <c r="A110">
        <f>IF([[#This Row],Date]="","",ROW()-4)</f>
        <v>0</v>
      </c>
      <c r="L110">
        <f>IF([[#This Row],Date]="","",YEAR([[#This Row],Date]))</f>
        <v>0</v>
      </c>
      <c r="M110">
        <f>IF([[#This Row],Date]="","",TEXT([[#This Row],Date],"mmmm"))</f>
        <v>0</v>
      </c>
    </row>
    <row r="111" spans="1:13">
      <c r="A111">
        <f>IF([[#This Row],Date]="","",ROW()-4)</f>
        <v>0</v>
      </c>
      <c r="L111">
        <f>IF([[#This Row],Date]="","",YEAR([[#This Row],Date]))</f>
        <v>0</v>
      </c>
      <c r="M111">
        <f>IF([[#This Row],Date]="","",TEXT([[#This Row],Date],"mmmm"))</f>
        <v>0</v>
      </c>
    </row>
    <row r="112" spans="1:13">
      <c r="A112">
        <f>IF([[#This Row],Date]="","",ROW()-4)</f>
        <v>0</v>
      </c>
      <c r="L112">
        <f>IF([[#This Row],Date]="","",YEAR([[#This Row],Date]))</f>
        <v>0</v>
      </c>
      <c r="M112">
        <f>IF([[#This Row],Date]="","",TEXT([[#This Row],Date],"mmmm"))</f>
        <v>0</v>
      </c>
    </row>
    <row r="113" spans="1:13">
      <c r="A113">
        <f>IF([[#This Row],Date]="","",ROW()-4)</f>
        <v>0</v>
      </c>
      <c r="L113">
        <f>IF([[#This Row],Date]="","",YEAR([[#This Row],Date]))</f>
        <v>0</v>
      </c>
      <c r="M113">
        <f>IF([[#This Row],Date]="","",TEXT([[#This Row],Date],"mmmm"))</f>
        <v>0</v>
      </c>
    </row>
    <row r="114" spans="1:13">
      <c r="A114">
        <f>IF([[#This Row],Date]="","",ROW()-4)</f>
        <v>0</v>
      </c>
      <c r="L114">
        <f>IF([[#This Row],Date]="","",YEAR([[#This Row],Date]))</f>
        <v>0</v>
      </c>
      <c r="M114">
        <f>IF([[#This Row],Date]="","",TEXT([[#This Row],Date],"mmmm"))</f>
        <v>0</v>
      </c>
    </row>
    <row r="115" spans="1:13">
      <c r="A115">
        <f>IF([[#This Row],Date]="","",ROW()-4)</f>
        <v>0</v>
      </c>
      <c r="L115">
        <f>IF([[#This Row],Date]="","",YEAR([[#This Row],Date]))</f>
        <v>0</v>
      </c>
      <c r="M115">
        <f>IF([[#This Row],Date]="","",TEXT([[#This Row],Date],"mmmm"))</f>
        <v>0</v>
      </c>
    </row>
    <row r="116" spans="1:13">
      <c r="A116">
        <f>IF([[#This Row],Date]="","",ROW()-4)</f>
        <v>0</v>
      </c>
      <c r="L116">
        <f>IF([[#This Row],Date]="","",YEAR([[#This Row],Date]))</f>
        <v>0</v>
      </c>
      <c r="M116">
        <f>IF([[#This Row],Date]="","",TEXT([[#This Row],Date],"mmmm"))</f>
        <v>0</v>
      </c>
    </row>
    <row r="117" spans="1:13">
      <c r="A117">
        <f>IF([[#This Row],Date]="","",ROW()-4)</f>
        <v>0</v>
      </c>
      <c r="L117">
        <f>IF([[#This Row],Date]="","",YEAR([[#This Row],Date]))</f>
        <v>0</v>
      </c>
      <c r="M117">
        <f>IF([[#This Row],Date]="","",TEXT([[#This Row],Date],"mmmm"))</f>
        <v>0</v>
      </c>
    </row>
    <row r="118" spans="1:13">
      <c r="A118">
        <f>IF([[#This Row],Date]="","",ROW()-4)</f>
        <v>0</v>
      </c>
      <c r="L118">
        <f>IF([[#This Row],Date]="","",YEAR([[#This Row],Date]))</f>
        <v>0</v>
      </c>
      <c r="M118">
        <f>IF([[#This Row],Date]="","",TEXT([[#This Row],Date],"mmmm"))</f>
        <v>0</v>
      </c>
    </row>
    <row r="119" spans="1:13">
      <c r="A119">
        <f>IF([[#This Row],Date]="","",ROW()-4)</f>
        <v>0</v>
      </c>
      <c r="L119">
        <f>IF([[#This Row],Date]="","",YEAR([[#This Row],Date]))</f>
        <v>0</v>
      </c>
      <c r="M119">
        <f>IF([[#This Row],Date]="","",TEXT([[#This Row],Date],"mmmm"))</f>
        <v>0</v>
      </c>
    </row>
    <row r="120" spans="1:13">
      <c r="A120">
        <f>IF([[#This Row],Date]="","",ROW()-4)</f>
        <v>0</v>
      </c>
      <c r="L120">
        <f>IF([[#This Row],Date]="","",YEAR([[#This Row],Date]))</f>
        <v>0</v>
      </c>
      <c r="M120">
        <f>IF([[#This Row],Date]="","",TEXT([[#This Row],Date],"mmmm"))</f>
        <v>0</v>
      </c>
    </row>
    <row r="121" spans="1:13">
      <c r="A121">
        <f>IF([[#This Row],Date]="","",ROW()-4)</f>
        <v>0</v>
      </c>
      <c r="L121">
        <f>IF([[#This Row],Date]="","",YEAR([[#This Row],Date]))</f>
        <v>0</v>
      </c>
      <c r="M121">
        <f>IF([[#This Row],Date]="","",TEXT([[#This Row],Date],"mmmm"))</f>
        <v>0</v>
      </c>
    </row>
    <row r="122" spans="1:13">
      <c r="A122">
        <f>IF([[#This Row],Date]="","",ROW()-4)</f>
        <v>0</v>
      </c>
      <c r="L122">
        <f>IF([[#This Row],Date]="","",YEAR([[#This Row],Date]))</f>
        <v>0</v>
      </c>
      <c r="M122">
        <f>IF([[#This Row],Date]="","",TEXT([[#This Row],Date],"mmmm"))</f>
        <v>0</v>
      </c>
    </row>
    <row r="123" spans="1:13">
      <c r="A123">
        <f>IF([[#This Row],Date]="","",ROW()-4)</f>
        <v>0</v>
      </c>
      <c r="L123">
        <f>IF([[#This Row],Date]="","",YEAR([[#This Row],Date]))</f>
        <v>0</v>
      </c>
      <c r="M123">
        <f>IF([[#This Row],Date]="","",TEXT([[#This Row],Date],"mmmm"))</f>
        <v>0</v>
      </c>
    </row>
    <row r="124" spans="1:13">
      <c r="A124">
        <f>IF([[#This Row],Date]="","",ROW()-4)</f>
        <v>0</v>
      </c>
      <c r="L124">
        <f>IF([[#This Row],Date]="","",YEAR([[#This Row],Date]))</f>
        <v>0</v>
      </c>
      <c r="M124">
        <f>IF([[#This Row],Date]="","",TEXT([[#This Row],Date],"mmmm"))</f>
        <v>0</v>
      </c>
    </row>
    <row r="125" spans="1:13">
      <c r="A125">
        <f>IF([[#This Row],Date]="","",ROW()-4)</f>
        <v>0</v>
      </c>
      <c r="L125">
        <f>IF([[#This Row],Date]="","",YEAR([[#This Row],Date]))</f>
        <v>0</v>
      </c>
      <c r="M125">
        <f>IF([[#This Row],Date]="","",TEXT([[#This Row],Date],"mmmm"))</f>
        <v>0</v>
      </c>
    </row>
    <row r="126" spans="1:13">
      <c r="A126">
        <f>IF([[#This Row],Date]="","",ROW()-4)</f>
        <v>0</v>
      </c>
      <c r="L126">
        <f>IF([[#This Row],Date]="","",YEAR([[#This Row],Date]))</f>
        <v>0</v>
      </c>
      <c r="M126">
        <f>IF([[#This Row],Date]="","",TEXT([[#This Row],Date],"mmmm"))</f>
        <v>0</v>
      </c>
    </row>
    <row r="127" spans="1:13">
      <c r="A127">
        <f>IF([[#This Row],Date]="","",ROW()-4)</f>
        <v>0</v>
      </c>
      <c r="L127">
        <f>IF([[#This Row],Date]="","",YEAR([[#This Row],Date]))</f>
        <v>0</v>
      </c>
      <c r="M127">
        <f>IF([[#This Row],Date]="","",TEXT([[#This Row],Date],"mmmm"))</f>
        <v>0</v>
      </c>
    </row>
    <row r="128" spans="1:13">
      <c r="A128">
        <f>IF([[#This Row],Date]="","",ROW()-4)</f>
        <v>0</v>
      </c>
      <c r="L128">
        <f>IF([[#This Row],Date]="","",YEAR([[#This Row],Date]))</f>
        <v>0</v>
      </c>
      <c r="M128">
        <f>IF([[#This Row],Date]="","",TEXT([[#This Row],Date],"mmmm"))</f>
        <v>0</v>
      </c>
    </row>
    <row r="129" spans="1:13">
      <c r="A129">
        <f>IF([[#This Row],Date]="","",ROW()-4)</f>
        <v>0</v>
      </c>
      <c r="L129">
        <f>IF([[#This Row],Date]="","",YEAR([[#This Row],Date]))</f>
        <v>0</v>
      </c>
      <c r="M129">
        <f>IF([[#This Row],Date]="","",TEXT([[#This Row],Date],"mmmm"))</f>
        <v>0</v>
      </c>
    </row>
    <row r="130" spans="1:13">
      <c r="A130">
        <f>IF([[#This Row],Date]="","",ROW()-4)</f>
        <v>0</v>
      </c>
      <c r="L130">
        <f>IF([[#This Row],Date]="","",YEAR([[#This Row],Date]))</f>
        <v>0</v>
      </c>
      <c r="M130">
        <f>IF([[#This Row],Date]="","",TEXT([[#This Row],Date],"mmmm"))</f>
        <v>0</v>
      </c>
    </row>
    <row r="131" spans="1:13">
      <c r="A131">
        <f>IF([[#This Row],Date]="","",ROW()-4)</f>
        <v>0</v>
      </c>
      <c r="L131">
        <f>IF([[#This Row],Date]="","",YEAR([[#This Row],Date]))</f>
        <v>0</v>
      </c>
      <c r="M131">
        <f>IF([[#This Row],Date]="","",TEXT([[#This Row],Date],"mmmm"))</f>
        <v>0</v>
      </c>
    </row>
    <row r="132" spans="1:13">
      <c r="A132">
        <f>IF([[#This Row],Date]="","",ROW()-4)</f>
        <v>0</v>
      </c>
      <c r="L132">
        <f>IF([[#This Row],Date]="","",YEAR([[#This Row],Date]))</f>
        <v>0</v>
      </c>
      <c r="M132">
        <f>IF([[#This Row],Date]="","",TEXT([[#This Row],Date],"mmmm"))</f>
        <v>0</v>
      </c>
    </row>
    <row r="133" spans="1:13">
      <c r="A133">
        <f>IF([[#This Row],Date]="","",ROW()-4)</f>
        <v>0</v>
      </c>
      <c r="L133">
        <f>IF([[#This Row],Date]="","",YEAR([[#This Row],Date]))</f>
        <v>0</v>
      </c>
      <c r="M133">
        <f>IF([[#This Row],Date]="","",TEXT([[#This Row],Date],"mmmm"))</f>
        <v>0</v>
      </c>
    </row>
    <row r="134" spans="1:13">
      <c r="A134">
        <f>IF([[#This Row],Date]="","",ROW()-4)</f>
        <v>0</v>
      </c>
      <c r="L134">
        <f>IF([[#This Row],Date]="","",YEAR([[#This Row],Date]))</f>
        <v>0</v>
      </c>
      <c r="M134">
        <f>IF([[#This Row],Date]="","",TEXT([[#This Row],Date],"mmmm"))</f>
        <v>0</v>
      </c>
    </row>
    <row r="135" spans="1:13">
      <c r="A135">
        <f>IF([[#This Row],Date]="","",ROW()-4)</f>
        <v>0</v>
      </c>
      <c r="L135">
        <f>IF([[#This Row],Date]="","",YEAR([[#This Row],Date]))</f>
        <v>0</v>
      </c>
      <c r="M135">
        <f>IF([[#This Row],Date]="","",TEXT([[#This Row],Date],"mmmm"))</f>
        <v>0</v>
      </c>
    </row>
    <row r="136" spans="1:13">
      <c r="A136">
        <f>IF([[#This Row],Date]="","",ROW()-4)</f>
        <v>0</v>
      </c>
      <c r="L136">
        <f>IF([[#This Row],Date]="","",YEAR([[#This Row],Date]))</f>
        <v>0</v>
      </c>
      <c r="M136">
        <f>IF([[#This Row],Date]="","",TEXT([[#This Row],Date],"mmmm"))</f>
        <v>0</v>
      </c>
    </row>
    <row r="137" spans="1:13">
      <c r="A137">
        <f>IF([[#This Row],Date]="","",ROW()-4)</f>
        <v>0</v>
      </c>
      <c r="L137">
        <f>IF([[#This Row],Date]="","",YEAR([[#This Row],Date]))</f>
        <v>0</v>
      </c>
      <c r="M137">
        <f>IF([[#This Row],Date]="","",TEXT([[#This Row],Date],"mmmm"))</f>
        <v>0</v>
      </c>
    </row>
    <row r="138" spans="1:13">
      <c r="A138">
        <f>IF([[#This Row],Date]="","",ROW()-4)</f>
        <v>0</v>
      </c>
      <c r="L138">
        <f>IF([[#This Row],Date]="","",YEAR([[#This Row],Date]))</f>
        <v>0</v>
      </c>
      <c r="M138">
        <f>IF([[#This Row],Date]="","",TEXT([[#This Row],Date],"mmmm"))</f>
        <v>0</v>
      </c>
    </row>
    <row r="139" spans="1:13">
      <c r="A139">
        <f>IF([[#This Row],Date]="","",ROW()-4)</f>
        <v>0</v>
      </c>
      <c r="L139">
        <f>IF([[#This Row],Date]="","",YEAR([[#This Row],Date]))</f>
        <v>0</v>
      </c>
      <c r="M139">
        <f>IF([[#This Row],Date]="","",TEXT([[#This Row],Date],"mmmm"))</f>
        <v>0</v>
      </c>
    </row>
    <row r="140" spans="1:13">
      <c r="A140">
        <f>IF([[#This Row],Date]="","",ROW()-4)</f>
        <v>0</v>
      </c>
      <c r="L140">
        <f>IF([[#This Row],Date]="","",YEAR([[#This Row],Date]))</f>
        <v>0</v>
      </c>
      <c r="M140">
        <f>IF([[#This Row],Date]="","",TEXT([[#This Row],Date],"mmmm"))</f>
        <v>0</v>
      </c>
    </row>
    <row r="141" spans="1:13">
      <c r="A141">
        <f>IF([[#This Row],Date]="","",ROW()-4)</f>
        <v>0</v>
      </c>
      <c r="L141">
        <f>IF([[#This Row],Date]="","",YEAR([[#This Row],Date]))</f>
        <v>0</v>
      </c>
      <c r="M141">
        <f>IF([[#This Row],Date]="","",TEXT([[#This Row],Date],"mmmm"))</f>
        <v>0</v>
      </c>
    </row>
    <row r="142" spans="1:13">
      <c r="A142">
        <f>IF([[#This Row],Date]="","",ROW()-4)</f>
        <v>0</v>
      </c>
      <c r="L142">
        <f>IF([[#This Row],Date]="","",YEAR([[#This Row],Date]))</f>
        <v>0</v>
      </c>
      <c r="M142">
        <f>IF([[#This Row],Date]="","",TEXT([[#This Row],Date],"mmmm"))</f>
        <v>0</v>
      </c>
    </row>
    <row r="143" spans="1:13">
      <c r="A143">
        <f>IF([[#This Row],Date]="","",ROW()-4)</f>
        <v>0</v>
      </c>
      <c r="L143">
        <f>IF([[#This Row],Date]="","",YEAR([[#This Row],Date]))</f>
        <v>0</v>
      </c>
      <c r="M143">
        <f>IF([[#This Row],Date]="","",TEXT([[#This Row],Date],"mmmm"))</f>
        <v>0</v>
      </c>
    </row>
    <row r="144" spans="1:13">
      <c r="A144">
        <f>IF([[#This Row],Date]="","",ROW()-4)</f>
        <v>0</v>
      </c>
      <c r="L144">
        <f>IF([[#This Row],Date]="","",YEAR([[#This Row],Date]))</f>
        <v>0</v>
      </c>
      <c r="M144">
        <f>IF([[#This Row],Date]="","",TEXT([[#This Row],Date],"mmmm"))</f>
        <v>0</v>
      </c>
    </row>
    <row r="145" spans="1:13">
      <c r="A145">
        <f>IF([[#This Row],Date]="","",ROW()-4)</f>
        <v>0</v>
      </c>
      <c r="L145">
        <f>IF([[#This Row],Date]="","",YEAR([[#This Row],Date]))</f>
        <v>0</v>
      </c>
      <c r="M145">
        <f>IF([[#This Row],Date]="","",TEXT([[#This Row],Date],"mmmm"))</f>
        <v>0</v>
      </c>
    </row>
    <row r="146" spans="1:13">
      <c r="A146">
        <f>IF([[#This Row],Date]="","",ROW()-4)</f>
        <v>0</v>
      </c>
      <c r="L146">
        <f>IF([[#This Row],Date]="","",YEAR([[#This Row],Date]))</f>
        <v>0</v>
      </c>
      <c r="M146">
        <f>IF([[#This Row],Date]="","",TEXT([[#This Row],Date],"mmmm"))</f>
        <v>0</v>
      </c>
    </row>
    <row r="147" spans="1:13">
      <c r="A147">
        <f>IF([[#This Row],Date]="","",ROW()-4)</f>
        <v>0</v>
      </c>
      <c r="L147">
        <f>IF([[#This Row],Date]="","",YEAR([[#This Row],Date]))</f>
        <v>0</v>
      </c>
      <c r="M147">
        <f>IF([[#This Row],Date]="","",TEXT([[#This Row],Date],"mmmm"))</f>
        <v>0</v>
      </c>
    </row>
    <row r="148" spans="1:13">
      <c r="A148">
        <f>IF([[#This Row],Date]="","",ROW()-4)</f>
        <v>0</v>
      </c>
      <c r="L148">
        <f>IF([[#This Row],Date]="","",YEAR([[#This Row],Date]))</f>
        <v>0</v>
      </c>
      <c r="M148">
        <f>IF([[#This Row],Date]="","",TEXT([[#This Row],Date],"mmmm"))</f>
        <v>0</v>
      </c>
    </row>
    <row r="149" spans="1:13">
      <c r="A149">
        <f>IF([[#This Row],Date]="","",ROW()-4)</f>
        <v>0</v>
      </c>
      <c r="L149">
        <f>IF([[#This Row],Date]="","",YEAR([[#This Row],Date]))</f>
        <v>0</v>
      </c>
      <c r="M149">
        <f>IF([[#This Row],Date]="","",TEXT([[#This Row],Date],"mmmm"))</f>
        <v>0</v>
      </c>
    </row>
    <row r="150" spans="1:13">
      <c r="A150">
        <f>IF([[#This Row],Date]="","",ROW()-4)</f>
        <v>0</v>
      </c>
      <c r="L150">
        <f>IF([[#This Row],Date]="","",YEAR([[#This Row],Date]))</f>
        <v>0</v>
      </c>
      <c r="M150">
        <f>IF([[#This Row],Date]="","",TEXT([[#This Row],Date],"mmmm"))</f>
        <v>0</v>
      </c>
    </row>
    <row r="151" spans="1:13">
      <c r="A151">
        <f>IF([[#This Row],Date]="","",ROW()-4)</f>
        <v>0</v>
      </c>
      <c r="L151">
        <f>IF([[#This Row],Date]="","",YEAR([[#This Row],Date]))</f>
        <v>0</v>
      </c>
      <c r="M151">
        <f>IF([[#This Row],Date]="","",TEXT([[#This Row],Date],"mmmm"))</f>
        <v>0</v>
      </c>
    </row>
    <row r="152" spans="1:13">
      <c r="A152">
        <f>IF([[#This Row],Date]="","",ROW()-4)</f>
        <v>0</v>
      </c>
      <c r="L152">
        <f>IF([[#This Row],Date]="","",YEAR([[#This Row],Date]))</f>
        <v>0</v>
      </c>
      <c r="M152">
        <f>IF([[#This Row],Date]="","",TEXT([[#This Row],Date],"mmmm"))</f>
        <v>0</v>
      </c>
    </row>
    <row r="153" spans="1:13">
      <c r="A153">
        <f>IF([[#This Row],Date]="","",ROW()-4)</f>
        <v>0</v>
      </c>
      <c r="L153">
        <f>IF([[#This Row],Date]="","",YEAR([[#This Row],Date]))</f>
        <v>0</v>
      </c>
      <c r="M153">
        <f>IF([[#This Row],Date]="","",TEXT([[#This Row],Date],"mmmm"))</f>
        <v>0</v>
      </c>
    </row>
    <row r="154" spans="1:13">
      <c r="A154">
        <f>IF([[#This Row],Date]="","",ROW()-4)</f>
        <v>0</v>
      </c>
      <c r="L154">
        <f>IF([[#This Row],Date]="","",YEAR([[#This Row],Date]))</f>
        <v>0</v>
      </c>
      <c r="M154">
        <f>IF([[#This Row],Date]="","",TEXT([[#This Row],Date],"mmmm"))</f>
        <v>0</v>
      </c>
    </row>
    <row r="155" spans="1:13">
      <c r="A155">
        <f>IF([[#This Row],Date]="","",ROW()-4)</f>
        <v>0</v>
      </c>
      <c r="L155">
        <f>IF([[#This Row],Date]="","",YEAR([[#This Row],Date]))</f>
        <v>0</v>
      </c>
      <c r="M155">
        <f>IF([[#This Row],Date]="","",TEXT([[#This Row],Date],"mmmm"))</f>
        <v>0</v>
      </c>
    </row>
    <row r="156" spans="1:13">
      <c r="A156">
        <f>IF([[#This Row],Date]="","",ROW()-4)</f>
        <v>0</v>
      </c>
      <c r="L156">
        <f>IF([[#This Row],Date]="","",YEAR([[#This Row],Date]))</f>
        <v>0</v>
      </c>
      <c r="M156">
        <f>IF([[#This Row],Date]="","",TEXT([[#This Row],Date],"mmmm"))</f>
        <v>0</v>
      </c>
    </row>
    <row r="157" spans="1:13">
      <c r="A157">
        <f>IF([[#This Row],Date]="","",ROW()-4)</f>
        <v>0</v>
      </c>
      <c r="L157">
        <f>IF([[#This Row],Date]="","",YEAR([[#This Row],Date]))</f>
        <v>0</v>
      </c>
      <c r="M157">
        <f>IF([[#This Row],Date]="","",TEXT([[#This Row],Date],"mmmm"))</f>
        <v>0</v>
      </c>
    </row>
    <row r="158" spans="1:13">
      <c r="A158">
        <f>IF([[#This Row],Date]="","",ROW()-4)</f>
        <v>0</v>
      </c>
      <c r="L158">
        <f>IF([[#This Row],Date]="","",YEAR([[#This Row],Date]))</f>
        <v>0</v>
      </c>
      <c r="M158">
        <f>IF([[#This Row],Date]="","",TEXT([[#This Row],Date],"mmmm"))</f>
        <v>0</v>
      </c>
    </row>
    <row r="159" spans="1:13">
      <c r="A159">
        <f>IF([[#This Row],Date]="","",ROW()-4)</f>
        <v>0</v>
      </c>
      <c r="L159">
        <f>IF([[#This Row],Date]="","",YEAR([[#This Row],Date]))</f>
        <v>0</v>
      </c>
      <c r="M159">
        <f>IF([[#This Row],Date]="","",TEXT([[#This Row],Date],"mmmm"))</f>
        <v>0</v>
      </c>
    </row>
    <row r="160" spans="1:13">
      <c r="A160">
        <f>IF([[#This Row],Date]="","",ROW()-4)</f>
        <v>0</v>
      </c>
      <c r="L160">
        <f>IF([[#This Row],Date]="","",YEAR([[#This Row],Date]))</f>
        <v>0</v>
      </c>
      <c r="M160">
        <f>IF([[#This Row],Date]="","",TEXT([[#This Row],Date],"mmmm"))</f>
        <v>0</v>
      </c>
    </row>
    <row r="161" spans="1:13">
      <c r="A161">
        <f>IF([[#This Row],Date]="","",ROW()-4)</f>
        <v>0</v>
      </c>
      <c r="L161">
        <f>IF([[#This Row],Date]="","",YEAR([[#This Row],Date]))</f>
        <v>0</v>
      </c>
      <c r="M161">
        <f>IF([[#This Row],Date]="","",TEXT([[#This Row],Date],"mmmm"))</f>
        <v>0</v>
      </c>
    </row>
    <row r="162" spans="1:13">
      <c r="A162">
        <f>IF([[#This Row],Date]="","",ROW()-4)</f>
        <v>0</v>
      </c>
      <c r="L162">
        <f>IF([[#This Row],Date]="","",YEAR([[#This Row],Date]))</f>
        <v>0</v>
      </c>
      <c r="M162">
        <f>IF([[#This Row],Date]="","",TEXT([[#This Row],Date],"mmmm"))</f>
        <v>0</v>
      </c>
    </row>
    <row r="163" spans="1:13">
      <c r="A163">
        <f>IF([[#This Row],Date]="","",ROW()-4)</f>
        <v>0</v>
      </c>
      <c r="L163">
        <f>IF([[#This Row],Date]="","",YEAR([[#This Row],Date]))</f>
        <v>0</v>
      </c>
      <c r="M163">
        <f>IF([[#This Row],Date]="","",TEXT([[#This Row],Date],"mmmm"))</f>
        <v>0</v>
      </c>
    </row>
    <row r="164" spans="1:13">
      <c r="A164">
        <f>IF([[#This Row],Date]="","",ROW()-4)</f>
        <v>0</v>
      </c>
      <c r="L164">
        <f>IF([[#This Row],Date]="","",YEAR([[#This Row],Date]))</f>
        <v>0</v>
      </c>
      <c r="M164">
        <f>IF([[#This Row],Date]="","",TEXT([[#This Row],Date],"mmmm"))</f>
        <v>0</v>
      </c>
    </row>
    <row r="165" spans="1:13">
      <c r="A165">
        <f>IF([[#This Row],Date]="","",ROW()-4)</f>
        <v>0</v>
      </c>
      <c r="L165">
        <f>IF([[#This Row],Date]="","",YEAR([[#This Row],Date]))</f>
        <v>0</v>
      </c>
      <c r="M165">
        <f>IF([[#This Row],Date]="","",TEXT([[#This Row],Date],"mmmm"))</f>
        <v>0</v>
      </c>
    </row>
    <row r="166" spans="1:13">
      <c r="A166">
        <f>IF([[#This Row],Date]="","",ROW()-4)</f>
        <v>0</v>
      </c>
      <c r="L166">
        <f>IF([[#This Row],Date]="","",YEAR([[#This Row],Date]))</f>
        <v>0</v>
      </c>
      <c r="M166">
        <f>IF([[#This Row],Date]="","",TEXT([[#This Row],Date],"mmmm"))</f>
        <v>0</v>
      </c>
    </row>
    <row r="167" spans="1:13">
      <c r="A167">
        <f>IF([[#This Row],Date]="","",ROW()-4)</f>
        <v>0</v>
      </c>
      <c r="L167">
        <f>IF([[#This Row],Date]="","",YEAR([[#This Row],Date]))</f>
        <v>0</v>
      </c>
      <c r="M167">
        <f>IF([[#This Row],Date]="","",TEXT([[#This Row],Date],"mmmm"))</f>
        <v>0</v>
      </c>
    </row>
    <row r="168" spans="1:13">
      <c r="A168">
        <f>IF([[#This Row],Date]="","",ROW()-4)</f>
        <v>0</v>
      </c>
      <c r="L168">
        <f>IF([[#This Row],Date]="","",YEAR([[#This Row],Date]))</f>
        <v>0</v>
      </c>
      <c r="M168">
        <f>IF([[#This Row],Date]="","",TEXT([[#This Row],Date],"mmmm"))</f>
        <v>0</v>
      </c>
    </row>
    <row r="169" spans="1:13">
      <c r="A169">
        <f>IF([[#This Row],Date]="","",ROW()-4)</f>
        <v>0</v>
      </c>
      <c r="L169">
        <f>IF([[#This Row],Date]="","",YEAR([[#This Row],Date]))</f>
        <v>0</v>
      </c>
      <c r="M169">
        <f>IF([[#This Row],Date]="","",TEXT([[#This Row],Date],"mmmm"))</f>
        <v>0</v>
      </c>
    </row>
    <row r="170" spans="1:13">
      <c r="A170">
        <f>IF([[#This Row],Date]="","",ROW()-4)</f>
        <v>0</v>
      </c>
      <c r="L170">
        <f>IF([[#This Row],Date]="","",YEAR([[#This Row],Date]))</f>
        <v>0</v>
      </c>
      <c r="M170">
        <f>IF([[#This Row],Date]="","",TEXT([[#This Row],Date],"mmmm"))</f>
        <v>0</v>
      </c>
    </row>
    <row r="171" spans="1:13">
      <c r="A171">
        <f>IF([[#This Row],Date]="","",ROW()-4)</f>
        <v>0</v>
      </c>
      <c r="L171">
        <f>IF([[#This Row],Date]="","",YEAR([[#This Row],Date]))</f>
        <v>0</v>
      </c>
      <c r="M171">
        <f>IF([[#This Row],Date]="","",TEXT([[#This Row],Date],"mmmm"))</f>
        <v>0</v>
      </c>
    </row>
    <row r="172" spans="1:13">
      <c r="A172">
        <f>IF([[#This Row],Date]="","",ROW()-4)</f>
        <v>0</v>
      </c>
      <c r="L172">
        <f>IF([[#This Row],Date]="","",YEAR([[#This Row],Date]))</f>
        <v>0</v>
      </c>
      <c r="M172">
        <f>IF([[#This Row],Date]="","",TEXT([[#This Row],Date],"mmmm"))</f>
        <v>0</v>
      </c>
    </row>
    <row r="173" spans="1:13">
      <c r="A173">
        <f>IF([[#This Row],Date]="","",ROW()-4)</f>
        <v>0</v>
      </c>
      <c r="L173">
        <f>IF([[#This Row],Date]="","",YEAR([[#This Row],Date]))</f>
        <v>0</v>
      </c>
      <c r="M173">
        <f>IF([[#This Row],Date]="","",TEXT([[#This Row],Date],"mmmm"))</f>
        <v>0</v>
      </c>
    </row>
    <row r="174" spans="1:13">
      <c r="A174">
        <f>IF([[#This Row],Date]="","",ROW()-4)</f>
        <v>0</v>
      </c>
      <c r="L174">
        <f>IF([[#This Row],Date]="","",YEAR([[#This Row],Date]))</f>
        <v>0</v>
      </c>
      <c r="M174">
        <f>IF([[#This Row],Date]="","",TEXT([[#This Row],Date],"mmmm"))</f>
        <v>0</v>
      </c>
    </row>
    <row r="175" spans="1:13">
      <c r="A175">
        <f>IF([[#This Row],Date]="","",ROW()-4)</f>
        <v>0</v>
      </c>
      <c r="L175">
        <f>IF([[#This Row],Date]="","",YEAR([[#This Row],Date]))</f>
        <v>0</v>
      </c>
      <c r="M175">
        <f>IF([[#This Row],Date]="","",TEXT([[#This Row],Date],"mmmm"))</f>
        <v>0</v>
      </c>
    </row>
    <row r="176" spans="1:13">
      <c r="A176">
        <f>IF([[#This Row],Date]="","",ROW()-4)</f>
        <v>0</v>
      </c>
      <c r="L176">
        <f>IF([[#This Row],Date]="","",YEAR([[#This Row],Date]))</f>
        <v>0</v>
      </c>
      <c r="M176">
        <f>IF([[#This Row],Date]="","",TEXT([[#This Row],Date],"mmmm"))</f>
        <v>0</v>
      </c>
    </row>
    <row r="177" spans="1:13">
      <c r="A177">
        <f>IF([[#This Row],Date]="","",ROW()-4)</f>
        <v>0</v>
      </c>
      <c r="L177">
        <f>IF([[#This Row],Date]="","",YEAR([[#This Row],Date]))</f>
        <v>0</v>
      </c>
      <c r="M177">
        <f>IF([[#This Row],Date]="","",TEXT([[#This Row],Date],"mmmm"))</f>
        <v>0</v>
      </c>
    </row>
    <row r="178" spans="1:13">
      <c r="A178">
        <f>IF([[#This Row],Date]="","",ROW()-4)</f>
        <v>0</v>
      </c>
      <c r="L178">
        <f>IF([[#This Row],Date]="","",YEAR([[#This Row],Date]))</f>
        <v>0</v>
      </c>
      <c r="M178">
        <f>IF([[#This Row],Date]="","",TEXT([[#This Row],Date],"mmmm"))</f>
        <v>0</v>
      </c>
    </row>
    <row r="179" spans="1:13">
      <c r="A179">
        <f>IF([[#This Row],Date]="","",ROW()-4)</f>
        <v>0</v>
      </c>
      <c r="L179">
        <f>IF([[#This Row],Date]="","",YEAR([[#This Row],Date]))</f>
        <v>0</v>
      </c>
      <c r="M179">
        <f>IF([[#This Row],Date]="","",TEXT([[#This Row],Date],"mmmm"))</f>
        <v>0</v>
      </c>
    </row>
    <row r="180" spans="1:13">
      <c r="A180">
        <f>IF([[#This Row],Date]="","",ROW()-4)</f>
        <v>0</v>
      </c>
      <c r="L180">
        <f>IF([[#This Row],Date]="","",YEAR([[#This Row],Date]))</f>
        <v>0</v>
      </c>
      <c r="M180">
        <f>IF([[#This Row],Date]="","",TEXT([[#This Row],Date],"mmmm"))</f>
        <v>0</v>
      </c>
    </row>
    <row r="181" spans="1:13">
      <c r="A181">
        <f>IF([[#This Row],Date]="","",ROW()-4)</f>
        <v>0</v>
      </c>
      <c r="L181">
        <f>IF([[#This Row],Date]="","",YEAR([[#This Row],Date]))</f>
        <v>0</v>
      </c>
      <c r="M181">
        <f>IF([[#This Row],Date]="","",TEXT([[#This Row],Date],"mmmm"))</f>
        <v>0</v>
      </c>
    </row>
    <row r="182" spans="1:13">
      <c r="A182">
        <f>IF([[#This Row],Date]="","",ROW()-4)</f>
        <v>0</v>
      </c>
      <c r="L182">
        <f>IF([[#This Row],Date]="","",YEAR([[#This Row],Date]))</f>
        <v>0</v>
      </c>
      <c r="M182">
        <f>IF([[#This Row],Date]="","",TEXT([[#This Row],Date],"mmmm"))</f>
        <v>0</v>
      </c>
    </row>
    <row r="183" spans="1:13">
      <c r="A183">
        <f>IF([[#This Row],Date]="","",ROW()-4)</f>
        <v>0</v>
      </c>
      <c r="L183">
        <f>IF([[#This Row],Date]="","",YEAR([[#This Row],Date]))</f>
        <v>0</v>
      </c>
      <c r="M183">
        <f>IF([[#This Row],Date]="","",TEXT([[#This Row],Date],"mmmm"))</f>
        <v>0</v>
      </c>
    </row>
    <row r="184" spans="1:13">
      <c r="A184">
        <f>IF([[#This Row],Date]="","",ROW()-4)</f>
        <v>0</v>
      </c>
      <c r="L184">
        <f>IF([[#This Row],Date]="","",YEAR([[#This Row],Date]))</f>
        <v>0</v>
      </c>
      <c r="M184">
        <f>IF([[#This Row],Date]="","",TEXT([[#This Row],Date],"mmmm"))</f>
        <v>0</v>
      </c>
    </row>
    <row r="185" spans="1:13">
      <c r="A185">
        <f>IF([[#This Row],Date]="","",ROW()-4)</f>
        <v>0</v>
      </c>
      <c r="L185">
        <f>IF([[#This Row],Date]="","",YEAR([[#This Row],Date]))</f>
        <v>0</v>
      </c>
      <c r="M185">
        <f>IF([[#This Row],Date]="","",TEXT([[#This Row],Date],"mmmm"))</f>
        <v>0</v>
      </c>
    </row>
    <row r="186" spans="1:13">
      <c r="A186">
        <f>IF([[#This Row],Date]="","",ROW()-4)</f>
        <v>0</v>
      </c>
      <c r="L186">
        <f>IF([[#This Row],Date]="","",YEAR([[#This Row],Date]))</f>
        <v>0</v>
      </c>
      <c r="M186">
        <f>IF([[#This Row],Date]="","",TEXT([[#This Row],Date],"mmmm"))</f>
        <v>0</v>
      </c>
    </row>
    <row r="187" spans="1:13">
      <c r="A187">
        <f>IF([[#This Row],Date]="","",ROW()-4)</f>
        <v>0</v>
      </c>
      <c r="L187">
        <f>IF([[#This Row],Date]="","",YEAR([[#This Row],Date]))</f>
        <v>0</v>
      </c>
      <c r="M187">
        <f>IF([[#This Row],Date]="","",TEXT([[#This Row],Date],"mmmm"))</f>
        <v>0</v>
      </c>
    </row>
    <row r="188" spans="1:13">
      <c r="A188">
        <f>IF([[#This Row],Date]="","",ROW()-4)</f>
        <v>0</v>
      </c>
      <c r="L188">
        <f>IF([[#This Row],Date]="","",YEAR([[#This Row],Date]))</f>
        <v>0</v>
      </c>
      <c r="M188">
        <f>IF([[#This Row],Date]="","",TEXT([[#This Row],Date],"mmmm"))</f>
        <v>0</v>
      </c>
    </row>
    <row r="189" spans="1:13">
      <c r="A189">
        <f>IF([[#This Row],Date]="","",ROW()-4)</f>
        <v>0</v>
      </c>
      <c r="L189">
        <f>IF([[#This Row],Date]="","",YEAR([[#This Row],Date]))</f>
        <v>0</v>
      </c>
      <c r="M189">
        <f>IF([[#This Row],Date]="","",TEXT([[#This Row],Date],"mmmm"))</f>
        <v>0</v>
      </c>
    </row>
    <row r="190" spans="1:13">
      <c r="A190">
        <f>IF([[#This Row],Date]="","",ROW()-4)</f>
        <v>0</v>
      </c>
      <c r="L190">
        <f>IF([[#This Row],Date]="","",YEAR([[#This Row],Date]))</f>
        <v>0</v>
      </c>
      <c r="M190">
        <f>IF([[#This Row],Date]="","",TEXT([[#This Row],Date],"mmmm"))</f>
        <v>0</v>
      </c>
    </row>
    <row r="191" spans="1:13">
      <c r="A191">
        <f>IF([[#This Row],Date]="","",ROW()-4)</f>
        <v>0</v>
      </c>
      <c r="L191">
        <f>IF([[#This Row],Date]="","",YEAR([[#This Row],Date]))</f>
        <v>0</v>
      </c>
      <c r="M191">
        <f>IF([[#This Row],Date]="","",TEXT([[#This Row],Date],"mmmm"))</f>
        <v>0</v>
      </c>
    </row>
    <row r="192" spans="1:13">
      <c r="A192">
        <f>IF([[#This Row],Date]="","",ROW()-4)</f>
        <v>0</v>
      </c>
      <c r="L192">
        <f>IF([[#This Row],Date]="","",YEAR([[#This Row],Date]))</f>
        <v>0</v>
      </c>
      <c r="M192">
        <f>IF([[#This Row],Date]="","",TEXT([[#This Row],Date],"mmmm"))</f>
        <v>0</v>
      </c>
    </row>
    <row r="193" spans="1:13">
      <c r="A193">
        <f>IF([[#This Row],Date]="","",ROW()-4)</f>
        <v>0</v>
      </c>
      <c r="L193">
        <f>IF([[#This Row],Date]="","",YEAR([[#This Row],Date]))</f>
        <v>0</v>
      </c>
      <c r="M193">
        <f>IF([[#This Row],Date]="","",TEXT([[#This Row],Date],"mmmm"))</f>
        <v>0</v>
      </c>
    </row>
    <row r="194" spans="1:13">
      <c r="A194">
        <f>IF([[#This Row],Date]="","",ROW()-4)</f>
        <v>0</v>
      </c>
      <c r="L194">
        <f>IF([[#This Row],Date]="","",YEAR([[#This Row],Date]))</f>
        <v>0</v>
      </c>
      <c r="M194">
        <f>IF([[#This Row],Date]="","",TEXT([[#This Row],Date],"mmmm"))</f>
        <v>0</v>
      </c>
    </row>
    <row r="195" spans="1:13">
      <c r="A195">
        <f>IF([[#This Row],Date]="","",ROW()-4)</f>
        <v>0</v>
      </c>
      <c r="L195">
        <f>IF([[#This Row],Date]="","",YEAR([[#This Row],Date]))</f>
        <v>0</v>
      </c>
      <c r="M195">
        <f>IF([[#This Row],Date]="","",TEXT([[#This Row],Date],"mmmm"))</f>
        <v>0</v>
      </c>
    </row>
    <row r="196" spans="1:13">
      <c r="A196">
        <f>IF([[#This Row],Date]="","",ROW()-4)</f>
        <v>0</v>
      </c>
      <c r="L196">
        <f>IF([[#This Row],Date]="","",YEAR([[#This Row],Date]))</f>
        <v>0</v>
      </c>
      <c r="M196">
        <f>IF([[#This Row],Date]="","",TEXT([[#This Row],Date],"mmmm"))</f>
        <v>0</v>
      </c>
    </row>
    <row r="197" spans="1:13">
      <c r="A197">
        <f>IF([[#This Row],Date]="","",ROW()-4)</f>
        <v>0</v>
      </c>
      <c r="L197">
        <f>IF([[#This Row],Date]="","",YEAR([[#This Row],Date]))</f>
        <v>0</v>
      </c>
      <c r="M197">
        <f>IF([[#This Row],Date]="","",TEXT([[#This Row],Date],"mmmm"))</f>
        <v>0</v>
      </c>
    </row>
    <row r="198" spans="1:13">
      <c r="A198">
        <f>IF([[#This Row],Date]="","",ROW()-4)</f>
        <v>0</v>
      </c>
      <c r="L198">
        <f>IF([[#This Row],Date]="","",YEAR([[#This Row],Date]))</f>
        <v>0</v>
      </c>
      <c r="M198">
        <f>IF([[#This Row],Date]="","",TEXT([[#This Row],Date],"mmmm"))</f>
        <v>0</v>
      </c>
    </row>
    <row r="199" spans="1:13">
      <c r="A199">
        <f>IF([[#This Row],Date]="","",ROW()-4)</f>
        <v>0</v>
      </c>
      <c r="L199">
        <f>IF([[#This Row],Date]="","",YEAR([[#This Row],Date]))</f>
        <v>0</v>
      </c>
      <c r="M199">
        <f>IF([[#This Row],Date]="","",TEXT([[#This Row],Date],"mmmm"))</f>
        <v>0</v>
      </c>
    </row>
    <row r="200" spans="1:13">
      <c r="A200">
        <f>IF([[#This Row],Date]="","",ROW()-4)</f>
        <v>0</v>
      </c>
      <c r="L200">
        <f>IF([[#This Row],Date]="","",YEAR([[#This Row],Date]))</f>
        <v>0</v>
      </c>
      <c r="M200">
        <f>IF([[#This Row],Date]="","",TEXT([[#This Row],Date],"mmmm"))</f>
        <v>0</v>
      </c>
    </row>
    <row r="201" spans="1:13">
      <c r="A201">
        <f>IF([[#This Row],Date]="","",ROW()-4)</f>
        <v>0</v>
      </c>
      <c r="L201">
        <f>IF([[#This Row],Date]="","",YEAR([[#This Row],Date]))</f>
        <v>0</v>
      </c>
      <c r="M201">
        <f>IF([[#This Row],Date]="","",TEXT([[#This Row],Date],"mmmm"))</f>
        <v>0</v>
      </c>
    </row>
    <row r="202" spans="1:13">
      <c r="A202">
        <f>IF([[#This Row],Date]="","",ROW()-4)</f>
        <v>0</v>
      </c>
      <c r="L202">
        <f>IF([[#This Row],Date]="","",YEAR([[#This Row],Date]))</f>
        <v>0</v>
      </c>
      <c r="M202">
        <f>IF([[#This Row],Date]="","",TEXT([[#This Row],Date],"mmmm"))</f>
        <v>0</v>
      </c>
    </row>
    <row r="203" spans="1:13">
      <c r="A203">
        <f>IF([[#This Row],Date]="","",ROW()-4)</f>
        <v>0</v>
      </c>
      <c r="L203">
        <f>IF([[#This Row],Date]="","",YEAR([[#This Row],Date]))</f>
        <v>0</v>
      </c>
      <c r="M203">
        <f>IF([[#This Row],Date]="","",TEXT([[#This Row],Date],"mmmm"))</f>
        <v>0</v>
      </c>
    </row>
    <row r="204" spans="1:13">
      <c r="A204">
        <f>IF([[#This Row],Date]="","",ROW()-4)</f>
        <v>0</v>
      </c>
      <c r="L204">
        <f>IF([[#This Row],Date]="","",YEAR([[#This Row],Date]))</f>
        <v>0</v>
      </c>
      <c r="M204">
        <f>IF([[#This Row],Date]="","",TEXT([[#This Row],Date],"mmmm"))</f>
        <v>0</v>
      </c>
    </row>
  </sheetData>
  <mergeCells count="1">
    <mergeCell ref="A1:M3"/>
  </mergeCells>
  <conditionalFormatting sqref="G5:G204">
    <cfRule type="containsText" dxfId="0" priority="1" operator="containsText" text="Fatal">
      <formula>NOT(ISERROR(SEARCH("Fatal",G5)))</formula>
    </cfRule>
    <cfRule type="containsText" dxfId="0" priority="2" operator="containsText" text="Critical">
      <formula>NOT(ISERROR(SEARCH("Critical",G5)))</formula>
    </cfRule>
    <cfRule type="containsText" dxfId="1" priority="3" operator="containsText" text="Major">
      <formula>NOT(ISERROR(SEARCH("Major",G5)))</formula>
    </cfRule>
    <cfRule type="containsText" dxfId="2" priority="4" operator="containsText" text="Moderate">
      <formula>NOT(ISERROR(SEARCH("Moderate",G5)))</formula>
    </cfRule>
    <cfRule type="containsText" dxfId="3" priority="5" operator="containsText" text="Minor">
      <formula>NOT(ISERROR(SEARCH("Minor",G5)))</formula>
    </cfRule>
  </conditionalFormatting>
  <conditionalFormatting sqref="I5:I204">
    <cfRule type="containsText" dxfId="0" priority="6" operator="containsText" text="Overdue">
      <formula>NOT(ISERROR(SEARCH("Overdue",I5)))</formula>
    </cfRule>
    <cfRule type="containsText" dxfId="2" priority="7" operator="containsText" text="Open">
      <formula>NOT(ISERROR(SEARCH("Open",I5)))</formula>
    </cfRule>
    <cfRule type="containsText" dxfId="4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3" priority="10" operator="containsText" text="Closed">
      <formula>NOT(ISERROR(SEARCH("Closed",I5)))</formula>
    </cfRule>
    <cfRule type="containsText" dxfId="3" priority="11" operator="containsText" text="Done">
      <formula>NOT(ISERROR(SEARCH("Done",I5)))</formula>
    </cfRule>
    <cfRule type="containsText" dxfId="3" priority="12" operator="containsText" text="Complete">
      <formula>NOT(ISERROR(SEARCH("Complete",I5)))</formula>
    </cfRule>
    <cfRule type="containsText" dxfId="5" priority="13" operator="containsText" text="N/A">
      <formula>NOT(ISERROR(SEARCH("N/A",I5)))</formula>
    </cfRule>
  </conditionalFormatting>
  <dataValidations count="5">
    <dataValidation type="list" allowBlank="1" showInputMessage="1" showErrorMessage="1" sqref="D5:D204">
      <formula1>SETUP!$C$2:$C$9</formula1>
    </dataValidation>
    <dataValidation type="list" allowBlank="1" showInputMessage="1" showErrorMessage="1" sqref="E5:E204">
      <formula1>SETUP!$B$2:$B$9</formula1>
    </dataValidation>
    <dataValidation type="list" allowBlank="1" showInputMessage="1" showErrorMessage="1" sqref="F5:F204">
      <formula1>SETUP!$A$2:$A$11</formula1>
    </dataValidation>
    <dataValidation type="list" allowBlank="1" showInputMessage="1" showErrorMessage="1" sqref="G5:G204">
      <formula1>SETUP!$D$2:$D$6</formula1>
    </dataValidation>
    <dataValidation type="list" allowBlank="1" showInputMessage="1" showErrorMessage="1" sqref="I5:I204">
      <formula1>SETUP!$E$2:$E$6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FF87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22.7109375" customWidth="1"/>
    <col min="4" max="4" width="16.7109375" customWidth="1"/>
    <col min="5" max="5" width="14.7109375" customWidth="1"/>
    <col min="6" max="6" width="16.7109375" customWidth="1"/>
    <col min="7" max="7" width="10.7109375" customWidth="1"/>
    <col min="8" max="8" width="36.7109375" customWidth="1"/>
    <col min="9" max="10" width="12.7109375" customWidth="1"/>
    <col min="11" max="12" width="0" hidden="1" customWidth="1"/>
  </cols>
  <sheetData>
    <row r="1" spans="1:12" ht="20" customHeight="1">
      <c r="A1" s="8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ht="24" customHeight="1">
      <c r="A4" t="s">
        <v>89</v>
      </c>
      <c r="B4" t="s">
        <v>90</v>
      </c>
      <c r="C4" t="s">
        <v>92</v>
      </c>
      <c r="D4" t="s">
        <v>93</v>
      </c>
      <c r="E4" t="s">
        <v>94</v>
      </c>
      <c r="F4" t="s">
        <v>122</v>
      </c>
      <c r="G4" t="s">
        <v>123</v>
      </c>
      <c r="H4" t="s">
        <v>124</v>
      </c>
      <c r="I4" t="s">
        <v>35</v>
      </c>
      <c r="J4" t="s">
        <v>125</v>
      </c>
      <c r="K4" t="s">
        <v>98</v>
      </c>
      <c r="L4" t="s">
        <v>99</v>
      </c>
    </row>
    <row r="5" spans="1:12" ht="22" customHeight="1">
      <c r="A5">
        <f>IF([[#This Row],Date]="","",ROW()-4)</f>
        <v>0</v>
      </c>
      <c r="B5" s="4">
        <v>45301</v>
      </c>
      <c r="C5" s="5" t="s">
        <v>79</v>
      </c>
      <c r="D5" s="5" t="s">
        <v>12</v>
      </c>
      <c r="E5" s="5" t="s">
        <v>1</v>
      </c>
      <c r="F5" s="5" t="s">
        <v>104</v>
      </c>
      <c r="G5" s="9">
        <v>96</v>
      </c>
      <c r="H5" s="5" t="s">
        <v>126</v>
      </c>
      <c r="I5" s="5" t="s">
        <v>127</v>
      </c>
      <c r="J5" s="5" t="s">
        <v>38</v>
      </c>
      <c r="K5" s="4">
        <v>45332</v>
      </c>
      <c r="L5">
        <f>IF([[#This Row],Date]="","",TEXT([[#This Row],Date],"mmmm"))</f>
        <v>0</v>
      </c>
    </row>
    <row r="6" spans="1:12" ht="22" customHeight="1">
      <c r="A6">
        <f>IF([[#This Row],Date]="","",ROW()-4)</f>
        <v>0</v>
      </c>
      <c r="B6" s="6">
        <v>45336</v>
      </c>
      <c r="C6" s="7" t="s">
        <v>80</v>
      </c>
      <c r="D6" s="7" t="s">
        <v>14</v>
      </c>
      <c r="E6" s="7" t="s">
        <v>3</v>
      </c>
      <c r="F6" s="7" t="s">
        <v>107</v>
      </c>
      <c r="G6" s="10">
        <v>100</v>
      </c>
      <c r="H6" s="7" t="s">
        <v>128</v>
      </c>
      <c r="I6" s="7" t="s">
        <v>129</v>
      </c>
      <c r="J6" s="7" t="s">
        <v>38</v>
      </c>
      <c r="K6" s="6">
        <v>45426</v>
      </c>
      <c r="L6">
        <f>IF([[#This Row],Date]="","",TEXT([[#This Row],Date],"mmmm"))</f>
        <v>0</v>
      </c>
    </row>
    <row r="7" spans="1:12" ht="22" customHeight="1">
      <c r="A7">
        <f>IF([[#This Row],Date]="","",ROW()-4)</f>
        <v>0</v>
      </c>
      <c r="B7" s="4">
        <v>45356</v>
      </c>
      <c r="C7" s="5" t="s">
        <v>81</v>
      </c>
      <c r="D7" s="5" t="s">
        <v>13</v>
      </c>
      <c r="E7" s="5" t="s">
        <v>2</v>
      </c>
      <c r="F7" s="5" t="s">
        <v>130</v>
      </c>
      <c r="G7" s="9">
        <v>87</v>
      </c>
      <c r="H7" s="5" t="s">
        <v>131</v>
      </c>
      <c r="I7" s="5" t="s">
        <v>132</v>
      </c>
      <c r="J7" s="5" t="s">
        <v>37</v>
      </c>
      <c r="K7" s="4">
        <v>45387</v>
      </c>
      <c r="L7">
        <f>IF([[#This Row],Date]="","",TEXT([[#This Row],Date],"mmmm"))</f>
        <v>0</v>
      </c>
    </row>
    <row r="8" spans="1:12" ht="22" customHeight="1">
      <c r="A8">
        <f>IF([[#This Row],Date]="","",ROW()-4)</f>
        <v>0</v>
      </c>
      <c r="B8" s="6">
        <v>45400</v>
      </c>
      <c r="C8" s="7" t="s">
        <v>28</v>
      </c>
      <c r="D8" s="7" t="s">
        <v>17</v>
      </c>
      <c r="E8" s="7" t="s">
        <v>5</v>
      </c>
      <c r="F8" s="7" t="s">
        <v>133</v>
      </c>
      <c r="G8" s="10">
        <v>97</v>
      </c>
      <c r="H8" s="7" t="s">
        <v>134</v>
      </c>
      <c r="I8" s="7" t="s">
        <v>135</v>
      </c>
      <c r="J8" s="7" t="s">
        <v>38</v>
      </c>
      <c r="K8" s="6">
        <v>45491</v>
      </c>
      <c r="L8">
        <f>IF([[#This Row],Date]="","",TEXT([[#This Row],Date],"mmmm"))</f>
        <v>0</v>
      </c>
    </row>
    <row r="9" spans="1:12" ht="22" customHeight="1">
      <c r="A9">
        <f>IF([[#This Row],Date]="","",ROW()-4)</f>
        <v>0</v>
      </c>
      <c r="B9" s="4">
        <v>45434</v>
      </c>
      <c r="C9" s="5" t="s">
        <v>84</v>
      </c>
      <c r="D9" s="5" t="s">
        <v>15</v>
      </c>
      <c r="E9" s="5" t="s">
        <v>1</v>
      </c>
      <c r="F9" s="5" t="s">
        <v>136</v>
      </c>
      <c r="G9" s="9">
        <v>99</v>
      </c>
      <c r="H9" s="5" t="s">
        <v>137</v>
      </c>
      <c r="I9" s="5" t="s">
        <v>138</v>
      </c>
      <c r="J9" s="5" t="s">
        <v>38</v>
      </c>
      <c r="K9" s="4">
        <v>45526</v>
      </c>
      <c r="L9">
        <f>IF([[#This Row],Date]="","",TEXT([[#This Row],Date],"mmmm"))</f>
        <v>0</v>
      </c>
    </row>
    <row r="10" spans="1:12" ht="22" customHeight="1">
      <c r="A10">
        <f>IF([[#This Row],Date]="","",ROW()-4)</f>
        <v>0</v>
      </c>
      <c r="B10" s="6">
        <v>45446</v>
      </c>
      <c r="C10" s="7" t="s">
        <v>85</v>
      </c>
      <c r="D10" s="7" t="s">
        <v>12</v>
      </c>
      <c r="E10" s="7" t="s">
        <v>4</v>
      </c>
      <c r="F10" s="7" t="s">
        <v>116</v>
      </c>
      <c r="G10" s="10">
        <v>82</v>
      </c>
      <c r="H10" s="7" t="s">
        <v>139</v>
      </c>
      <c r="I10" s="7" t="s">
        <v>140</v>
      </c>
      <c r="J10" s="7" t="s">
        <v>36</v>
      </c>
      <c r="K10" s="6">
        <v>45476</v>
      </c>
      <c r="L10">
        <f>IF([[#This Row],Date]="","",TEXT([[#This Row],Date],"mmmm"))</f>
        <v>0</v>
      </c>
    </row>
    <row r="11" spans="1:12">
      <c r="A11">
        <f>IF([[#This Row],Date]="","",ROW()-4)</f>
        <v>0</v>
      </c>
      <c r="K11">
        <f>IF([[#This Row],Date]="","",YEAR([[#This Row],Date]))</f>
        <v>0</v>
      </c>
      <c r="L11">
        <f>IF([[#This Row],Date]="","",TEXT([[#This Row],Date],"mmmm"))</f>
        <v>0</v>
      </c>
    </row>
    <row r="12" spans="1:12">
      <c r="A12">
        <f>IF([[#This Row],Date]="","",ROW()-4)</f>
        <v>0</v>
      </c>
      <c r="K12">
        <f>IF([[#This Row],Date]="","",YEAR([[#This Row],Date]))</f>
        <v>0</v>
      </c>
      <c r="L12">
        <f>IF([[#This Row],Date]="","",TEXT([[#This Row],Date],"mmmm"))</f>
        <v>0</v>
      </c>
    </row>
    <row r="13" spans="1:12">
      <c r="A13">
        <f>IF([[#This Row],Date]="","",ROW()-4)</f>
        <v>0</v>
      </c>
      <c r="K13">
        <f>IF([[#This Row],Date]="","",YEAR([[#This Row],Date]))</f>
        <v>0</v>
      </c>
      <c r="L13">
        <f>IF([[#This Row],Date]="","",TEXT([[#This Row],Date],"mmmm"))</f>
        <v>0</v>
      </c>
    </row>
    <row r="14" spans="1:12">
      <c r="A14">
        <f>IF([[#This Row],Date]="","",ROW()-4)</f>
        <v>0</v>
      </c>
      <c r="K14">
        <f>IF([[#This Row],Date]="","",YEAR([[#This Row],Date]))</f>
        <v>0</v>
      </c>
      <c r="L14">
        <f>IF([[#This Row],Date]="","",TEXT([[#This Row],Date],"mmmm"))</f>
        <v>0</v>
      </c>
    </row>
    <row r="15" spans="1:12">
      <c r="A15">
        <f>IF([[#This Row],Date]="","",ROW()-4)</f>
        <v>0</v>
      </c>
      <c r="K15">
        <f>IF([[#This Row],Date]="","",YEAR([[#This Row],Date]))</f>
        <v>0</v>
      </c>
      <c r="L15">
        <f>IF([[#This Row],Date]="","",TEXT([[#This Row],Date],"mmmm"))</f>
        <v>0</v>
      </c>
    </row>
    <row r="16" spans="1:12">
      <c r="A16">
        <f>IF([[#This Row],Date]="","",ROW()-4)</f>
        <v>0</v>
      </c>
      <c r="K16">
        <f>IF([[#This Row],Date]="","",YEAR([[#This Row],Date]))</f>
        <v>0</v>
      </c>
      <c r="L16">
        <f>IF([[#This Row],Date]="","",TEXT([[#This Row],Date],"mmmm"))</f>
        <v>0</v>
      </c>
    </row>
    <row r="17" spans="1:12">
      <c r="A17">
        <f>IF([[#This Row],Date]="","",ROW()-4)</f>
        <v>0</v>
      </c>
      <c r="K17">
        <f>IF([[#This Row],Date]="","",YEAR([[#This Row],Date]))</f>
        <v>0</v>
      </c>
      <c r="L17">
        <f>IF([[#This Row],Date]="","",TEXT([[#This Row],Date],"mmmm"))</f>
        <v>0</v>
      </c>
    </row>
    <row r="18" spans="1:12">
      <c r="A18">
        <f>IF([[#This Row],Date]="","",ROW()-4)</f>
        <v>0</v>
      </c>
      <c r="K18">
        <f>IF([[#This Row],Date]="","",YEAR([[#This Row],Date]))</f>
        <v>0</v>
      </c>
      <c r="L18">
        <f>IF([[#This Row],Date]="","",TEXT([[#This Row],Date],"mmmm"))</f>
        <v>0</v>
      </c>
    </row>
    <row r="19" spans="1:12">
      <c r="A19">
        <f>IF([[#This Row],Date]="","",ROW()-4)</f>
        <v>0</v>
      </c>
      <c r="K19">
        <f>IF([[#This Row],Date]="","",YEAR([[#This Row],Date]))</f>
        <v>0</v>
      </c>
      <c r="L19">
        <f>IF([[#This Row],Date]="","",TEXT([[#This Row],Date],"mmmm"))</f>
        <v>0</v>
      </c>
    </row>
    <row r="20" spans="1:12">
      <c r="A20">
        <f>IF([[#This Row],Date]="","",ROW()-4)</f>
        <v>0</v>
      </c>
      <c r="K20">
        <f>IF([[#This Row],Date]="","",YEAR([[#This Row],Date]))</f>
        <v>0</v>
      </c>
      <c r="L20">
        <f>IF([[#This Row],Date]="","",TEXT([[#This Row],Date],"mmmm"))</f>
        <v>0</v>
      </c>
    </row>
    <row r="21" spans="1:12">
      <c r="A21">
        <f>IF([[#This Row],Date]="","",ROW()-4)</f>
        <v>0</v>
      </c>
      <c r="K21">
        <f>IF([[#This Row],Date]="","",YEAR([[#This Row],Date]))</f>
        <v>0</v>
      </c>
      <c r="L21">
        <f>IF([[#This Row],Date]="","",TEXT([[#This Row],Date],"mmmm"))</f>
        <v>0</v>
      </c>
    </row>
    <row r="22" spans="1:12">
      <c r="A22">
        <f>IF([[#This Row],Date]="","",ROW()-4)</f>
        <v>0</v>
      </c>
      <c r="K22">
        <f>IF([[#This Row],Date]="","",YEAR([[#This Row],Date]))</f>
        <v>0</v>
      </c>
      <c r="L22">
        <f>IF([[#This Row],Date]="","",TEXT([[#This Row],Date],"mmmm"))</f>
        <v>0</v>
      </c>
    </row>
    <row r="23" spans="1:12">
      <c r="A23">
        <f>IF([[#This Row],Date]="","",ROW()-4)</f>
        <v>0</v>
      </c>
      <c r="K23">
        <f>IF([[#This Row],Date]="","",YEAR([[#This Row],Date]))</f>
        <v>0</v>
      </c>
      <c r="L23">
        <f>IF([[#This Row],Date]="","",TEXT([[#This Row],Date],"mmmm"))</f>
        <v>0</v>
      </c>
    </row>
    <row r="24" spans="1:12">
      <c r="A24">
        <f>IF([[#This Row],Date]="","",ROW()-4)</f>
        <v>0</v>
      </c>
      <c r="K24">
        <f>IF([[#This Row],Date]="","",YEAR([[#This Row],Date]))</f>
        <v>0</v>
      </c>
      <c r="L24">
        <f>IF([[#This Row],Date]="","",TEXT([[#This Row],Date],"mmmm"))</f>
        <v>0</v>
      </c>
    </row>
    <row r="25" spans="1:12">
      <c r="A25">
        <f>IF([[#This Row],Date]="","",ROW()-4)</f>
        <v>0</v>
      </c>
      <c r="K25">
        <f>IF([[#This Row],Date]="","",YEAR([[#This Row],Date]))</f>
        <v>0</v>
      </c>
      <c r="L25">
        <f>IF([[#This Row],Date]="","",TEXT([[#This Row],Date],"mmmm"))</f>
        <v>0</v>
      </c>
    </row>
    <row r="26" spans="1:12">
      <c r="A26">
        <f>IF([[#This Row],Date]="","",ROW()-4)</f>
        <v>0</v>
      </c>
      <c r="K26">
        <f>IF([[#This Row],Date]="","",YEAR([[#This Row],Date]))</f>
        <v>0</v>
      </c>
      <c r="L26">
        <f>IF([[#This Row],Date]="","",TEXT([[#This Row],Date],"mmmm"))</f>
        <v>0</v>
      </c>
    </row>
    <row r="27" spans="1:12">
      <c r="A27">
        <f>IF([[#This Row],Date]="","",ROW()-4)</f>
        <v>0</v>
      </c>
      <c r="K27">
        <f>IF([[#This Row],Date]="","",YEAR([[#This Row],Date]))</f>
        <v>0</v>
      </c>
      <c r="L27">
        <f>IF([[#This Row],Date]="","",TEXT([[#This Row],Date],"mmmm"))</f>
        <v>0</v>
      </c>
    </row>
    <row r="28" spans="1:12">
      <c r="A28">
        <f>IF([[#This Row],Date]="","",ROW()-4)</f>
        <v>0</v>
      </c>
      <c r="K28">
        <f>IF([[#This Row],Date]="","",YEAR([[#This Row],Date]))</f>
        <v>0</v>
      </c>
      <c r="L28">
        <f>IF([[#This Row],Date]="","",TEXT([[#This Row],Date],"mmmm"))</f>
        <v>0</v>
      </c>
    </row>
    <row r="29" spans="1:12">
      <c r="A29">
        <f>IF([[#This Row],Date]="","",ROW()-4)</f>
        <v>0</v>
      </c>
      <c r="K29">
        <f>IF([[#This Row],Date]="","",YEAR([[#This Row],Date]))</f>
        <v>0</v>
      </c>
      <c r="L29">
        <f>IF([[#This Row],Date]="","",TEXT([[#This Row],Date],"mmmm"))</f>
        <v>0</v>
      </c>
    </row>
    <row r="30" spans="1:12">
      <c r="A30">
        <f>IF([[#This Row],Date]="","",ROW()-4)</f>
        <v>0</v>
      </c>
      <c r="K30">
        <f>IF([[#This Row],Date]="","",YEAR([[#This Row],Date]))</f>
        <v>0</v>
      </c>
      <c r="L30">
        <f>IF([[#This Row],Date]="","",TEXT([[#This Row],Date],"mmmm"))</f>
        <v>0</v>
      </c>
    </row>
    <row r="31" spans="1:12">
      <c r="A31">
        <f>IF([[#This Row],Date]="","",ROW()-4)</f>
        <v>0</v>
      </c>
      <c r="K31">
        <f>IF([[#This Row],Date]="","",YEAR([[#This Row],Date]))</f>
        <v>0</v>
      </c>
      <c r="L31">
        <f>IF([[#This Row],Date]="","",TEXT([[#This Row],Date],"mmmm"))</f>
        <v>0</v>
      </c>
    </row>
    <row r="32" spans="1:12">
      <c r="A32">
        <f>IF([[#This Row],Date]="","",ROW()-4)</f>
        <v>0</v>
      </c>
      <c r="K32">
        <f>IF([[#This Row],Date]="","",YEAR([[#This Row],Date]))</f>
        <v>0</v>
      </c>
      <c r="L32">
        <f>IF([[#This Row],Date]="","",TEXT([[#This Row],Date],"mmmm"))</f>
        <v>0</v>
      </c>
    </row>
    <row r="33" spans="1:12">
      <c r="A33">
        <f>IF([[#This Row],Date]="","",ROW()-4)</f>
        <v>0</v>
      </c>
      <c r="K33">
        <f>IF([[#This Row],Date]="","",YEAR([[#This Row],Date]))</f>
        <v>0</v>
      </c>
      <c r="L33">
        <f>IF([[#This Row],Date]="","",TEXT([[#This Row],Date],"mmmm"))</f>
        <v>0</v>
      </c>
    </row>
    <row r="34" spans="1:12">
      <c r="A34">
        <f>IF([[#This Row],Date]="","",ROW()-4)</f>
        <v>0</v>
      </c>
      <c r="K34">
        <f>IF([[#This Row],Date]="","",YEAR([[#This Row],Date]))</f>
        <v>0</v>
      </c>
      <c r="L34">
        <f>IF([[#This Row],Date]="","",TEXT([[#This Row],Date],"mmmm"))</f>
        <v>0</v>
      </c>
    </row>
    <row r="35" spans="1:12">
      <c r="A35">
        <f>IF([[#This Row],Date]="","",ROW()-4)</f>
        <v>0</v>
      </c>
      <c r="K35">
        <f>IF([[#This Row],Date]="","",YEAR([[#This Row],Date]))</f>
        <v>0</v>
      </c>
      <c r="L35">
        <f>IF([[#This Row],Date]="","",TEXT([[#This Row],Date],"mmmm"))</f>
        <v>0</v>
      </c>
    </row>
    <row r="36" spans="1:12">
      <c r="A36">
        <f>IF([[#This Row],Date]="","",ROW()-4)</f>
        <v>0</v>
      </c>
      <c r="K36">
        <f>IF([[#This Row],Date]="","",YEAR([[#This Row],Date]))</f>
        <v>0</v>
      </c>
      <c r="L36">
        <f>IF([[#This Row],Date]="","",TEXT([[#This Row],Date],"mmmm"))</f>
        <v>0</v>
      </c>
    </row>
    <row r="37" spans="1:12">
      <c r="A37">
        <f>IF([[#This Row],Date]="","",ROW()-4)</f>
        <v>0</v>
      </c>
      <c r="K37">
        <f>IF([[#This Row],Date]="","",YEAR([[#This Row],Date]))</f>
        <v>0</v>
      </c>
      <c r="L37">
        <f>IF([[#This Row],Date]="","",TEXT([[#This Row],Date],"mmmm"))</f>
        <v>0</v>
      </c>
    </row>
    <row r="38" spans="1:12">
      <c r="A38">
        <f>IF([[#This Row],Date]="","",ROW()-4)</f>
        <v>0</v>
      </c>
      <c r="K38">
        <f>IF([[#This Row],Date]="","",YEAR([[#This Row],Date]))</f>
        <v>0</v>
      </c>
      <c r="L38">
        <f>IF([[#This Row],Date]="","",TEXT([[#This Row],Date],"mmmm"))</f>
        <v>0</v>
      </c>
    </row>
    <row r="39" spans="1:12">
      <c r="A39">
        <f>IF([[#This Row],Date]="","",ROW()-4)</f>
        <v>0</v>
      </c>
      <c r="K39">
        <f>IF([[#This Row],Date]="","",YEAR([[#This Row],Date]))</f>
        <v>0</v>
      </c>
      <c r="L39">
        <f>IF([[#This Row],Date]="","",TEXT([[#This Row],Date],"mmmm"))</f>
        <v>0</v>
      </c>
    </row>
    <row r="40" spans="1:12">
      <c r="A40">
        <f>IF([[#This Row],Date]="","",ROW()-4)</f>
        <v>0</v>
      </c>
      <c r="K40">
        <f>IF([[#This Row],Date]="","",YEAR([[#This Row],Date]))</f>
        <v>0</v>
      </c>
      <c r="L40">
        <f>IF([[#This Row],Date]="","",TEXT([[#This Row],Date],"mmmm"))</f>
        <v>0</v>
      </c>
    </row>
    <row r="41" spans="1:12">
      <c r="A41">
        <f>IF([[#This Row],Date]="","",ROW()-4)</f>
        <v>0</v>
      </c>
      <c r="K41">
        <f>IF([[#This Row],Date]="","",YEAR([[#This Row],Date]))</f>
        <v>0</v>
      </c>
      <c r="L41">
        <f>IF([[#This Row],Date]="","",TEXT([[#This Row],Date],"mmmm"))</f>
        <v>0</v>
      </c>
    </row>
    <row r="42" spans="1:12">
      <c r="A42">
        <f>IF([[#This Row],Date]="","",ROW()-4)</f>
        <v>0</v>
      </c>
      <c r="K42">
        <f>IF([[#This Row],Date]="","",YEAR([[#This Row],Date]))</f>
        <v>0</v>
      </c>
      <c r="L42">
        <f>IF([[#This Row],Date]="","",TEXT([[#This Row],Date],"mmmm"))</f>
        <v>0</v>
      </c>
    </row>
    <row r="43" spans="1:12">
      <c r="A43">
        <f>IF([[#This Row],Date]="","",ROW()-4)</f>
        <v>0</v>
      </c>
      <c r="K43">
        <f>IF([[#This Row],Date]="","",YEAR([[#This Row],Date]))</f>
        <v>0</v>
      </c>
      <c r="L43">
        <f>IF([[#This Row],Date]="","",TEXT([[#This Row],Date],"mmmm"))</f>
        <v>0</v>
      </c>
    </row>
    <row r="44" spans="1:12">
      <c r="A44">
        <f>IF([[#This Row],Date]="","",ROW()-4)</f>
        <v>0</v>
      </c>
      <c r="K44">
        <f>IF([[#This Row],Date]="","",YEAR([[#This Row],Date]))</f>
        <v>0</v>
      </c>
      <c r="L44">
        <f>IF([[#This Row],Date]="","",TEXT([[#This Row],Date],"mmmm"))</f>
        <v>0</v>
      </c>
    </row>
    <row r="45" spans="1:12">
      <c r="A45">
        <f>IF([[#This Row],Date]="","",ROW()-4)</f>
        <v>0</v>
      </c>
      <c r="K45">
        <f>IF([[#This Row],Date]="","",YEAR([[#This Row],Date]))</f>
        <v>0</v>
      </c>
      <c r="L45">
        <f>IF([[#This Row],Date]="","",TEXT([[#This Row],Date],"mmmm"))</f>
        <v>0</v>
      </c>
    </row>
    <row r="46" spans="1:12">
      <c r="A46">
        <f>IF([[#This Row],Date]="","",ROW()-4)</f>
        <v>0</v>
      </c>
      <c r="K46">
        <f>IF([[#This Row],Date]="","",YEAR([[#This Row],Date]))</f>
        <v>0</v>
      </c>
      <c r="L46">
        <f>IF([[#This Row],Date]="","",TEXT([[#This Row],Date],"mmmm"))</f>
        <v>0</v>
      </c>
    </row>
    <row r="47" spans="1:12">
      <c r="A47">
        <f>IF([[#This Row],Date]="","",ROW()-4)</f>
        <v>0</v>
      </c>
      <c r="K47">
        <f>IF([[#This Row],Date]="","",YEAR([[#This Row],Date]))</f>
        <v>0</v>
      </c>
      <c r="L47">
        <f>IF([[#This Row],Date]="","",TEXT([[#This Row],Date],"mmmm"))</f>
        <v>0</v>
      </c>
    </row>
    <row r="48" spans="1:12">
      <c r="A48">
        <f>IF([[#This Row],Date]="","",ROW()-4)</f>
        <v>0</v>
      </c>
      <c r="K48">
        <f>IF([[#This Row],Date]="","",YEAR([[#This Row],Date]))</f>
        <v>0</v>
      </c>
      <c r="L48">
        <f>IF([[#This Row],Date]="","",TEXT([[#This Row],Date],"mmmm"))</f>
        <v>0</v>
      </c>
    </row>
    <row r="49" spans="1:12">
      <c r="A49">
        <f>IF([[#This Row],Date]="","",ROW()-4)</f>
        <v>0</v>
      </c>
      <c r="K49">
        <f>IF([[#This Row],Date]="","",YEAR([[#This Row],Date]))</f>
        <v>0</v>
      </c>
      <c r="L49">
        <f>IF([[#This Row],Date]="","",TEXT([[#This Row],Date],"mmmm"))</f>
        <v>0</v>
      </c>
    </row>
    <row r="50" spans="1:12">
      <c r="A50">
        <f>IF([[#This Row],Date]="","",ROW()-4)</f>
        <v>0</v>
      </c>
      <c r="K50">
        <f>IF([[#This Row],Date]="","",YEAR([[#This Row],Date]))</f>
        <v>0</v>
      </c>
      <c r="L50">
        <f>IF([[#This Row],Date]="","",TEXT([[#This Row],Date],"mmmm"))</f>
        <v>0</v>
      </c>
    </row>
    <row r="51" spans="1:12">
      <c r="A51">
        <f>IF([[#This Row],Date]="","",ROW()-4)</f>
        <v>0</v>
      </c>
      <c r="K51">
        <f>IF([[#This Row],Date]="","",YEAR([[#This Row],Date]))</f>
        <v>0</v>
      </c>
      <c r="L51">
        <f>IF([[#This Row],Date]="","",TEXT([[#This Row],Date],"mmmm"))</f>
        <v>0</v>
      </c>
    </row>
    <row r="52" spans="1:12">
      <c r="A52">
        <f>IF([[#This Row],Date]="","",ROW()-4)</f>
        <v>0</v>
      </c>
      <c r="K52">
        <f>IF([[#This Row],Date]="","",YEAR([[#This Row],Date]))</f>
        <v>0</v>
      </c>
      <c r="L52">
        <f>IF([[#This Row],Date]="","",TEXT([[#This Row],Date],"mmmm"))</f>
        <v>0</v>
      </c>
    </row>
    <row r="53" spans="1:12">
      <c r="A53">
        <f>IF([[#This Row],Date]="","",ROW()-4)</f>
        <v>0</v>
      </c>
      <c r="K53">
        <f>IF([[#This Row],Date]="","",YEAR([[#This Row],Date]))</f>
        <v>0</v>
      </c>
      <c r="L53">
        <f>IF([[#This Row],Date]="","",TEXT([[#This Row],Date],"mmmm"))</f>
        <v>0</v>
      </c>
    </row>
    <row r="54" spans="1:12">
      <c r="A54">
        <f>IF([[#This Row],Date]="","",ROW()-4)</f>
        <v>0</v>
      </c>
      <c r="K54">
        <f>IF([[#This Row],Date]="","",YEAR([[#This Row],Date]))</f>
        <v>0</v>
      </c>
      <c r="L54">
        <f>IF([[#This Row],Date]="","",TEXT([[#This Row],Date],"mmmm"))</f>
        <v>0</v>
      </c>
    </row>
    <row r="55" spans="1:12">
      <c r="A55">
        <f>IF([[#This Row],Date]="","",ROW()-4)</f>
        <v>0</v>
      </c>
      <c r="K55">
        <f>IF([[#This Row],Date]="","",YEAR([[#This Row],Date]))</f>
        <v>0</v>
      </c>
      <c r="L55">
        <f>IF([[#This Row],Date]="","",TEXT([[#This Row],Date],"mmmm"))</f>
        <v>0</v>
      </c>
    </row>
    <row r="56" spans="1:12">
      <c r="A56">
        <f>IF([[#This Row],Date]="","",ROW()-4)</f>
        <v>0</v>
      </c>
      <c r="K56">
        <f>IF([[#This Row],Date]="","",YEAR([[#This Row],Date]))</f>
        <v>0</v>
      </c>
      <c r="L56">
        <f>IF([[#This Row],Date]="","",TEXT([[#This Row],Date],"mmmm"))</f>
        <v>0</v>
      </c>
    </row>
    <row r="57" spans="1:12">
      <c r="A57">
        <f>IF([[#This Row],Date]="","",ROW()-4)</f>
        <v>0</v>
      </c>
      <c r="K57">
        <f>IF([[#This Row],Date]="","",YEAR([[#This Row],Date]))</f>
        <v>0</v>
      </c>
      <c r="L57">
        <f>IF([[#This Row],Date]="","",TEXT([[#This Row],Date],"mmmm"))</f>
        <v>0</v>
      </c>
    </row>
    <row r="58" spans="1:12">
      <c r="A58">
        <f>IF([[#This Row],Date]="","",ROW()-4)</f>
        <v>0</v>
      </c>
      <c r="K58">
        <f>IF([[#This Row],Date]="","",YEAR([[#This Row],Date]))</f>
        <v>0</v>
      </c>
      <c r="L58">
        <f>IF([[#This Row],Date]="","",TEXT([[#This Row],Date],"mmmm"))</f>
        <v>0</v>
      </c>
    </row>
    <row r="59" spans="1:12">
      <c r="A59">
        <f>IF([[#This Row],Date]="","",ROW()-4)</f>
        <v>0</v>
      </c>
      <c r="K59">
        <f>IF([[#This Row],Date]="","",YEAR([[#This Row],Date]))</f>
        <v>0</v>
      </c>
      <c r="L59">
        <f>IF([[#This Row],Date]="","",TEXT([[#This Row],Date],"mmmm"))</f>
        <v>0</v>
      </c>
    </row>
    <row r="60" spans="1:12">
      <c r="A60">
        <f>IF([[#This Row],Date]="","",ROW()-4)</f>
        <v>0</v>
      </c>
      <c r="K60">
        <f>IF([[#This Row],Date]="","",YEAR([[#This Row],Date]))</f>
        <v>0</v>
      </c>
      <c r="L60">
        <f>IF([[#This Row],Date]="","",TEXT([[#This Row],Date],"mmmm"))</f>
        <v>0</v>
      </c>
    </row>
    <row r="61" spans="1:12">
      <c r="A61">
        <f>IF([[#This Row],Date]="","",ROW()-4)</f>
        <v>0</v>
      </c>
      <c r="K61">
        <f>IF([[#This Row],Date]="","",YEAR([[#This Row],Date]))</f>
        <v>0</v>
      </c>
      <c r="L61">
        <f>IF([[#This Row],Date]="","",TEXT([[#This Row],Date],"mmmm"))</f>
        <v>0</v>
      </c>
    </row>
    <row r="62" spans="1:12">
      <c r="A62">
        <f>IF([[#This Row],Date]="","",ROW()-4)</f>
        <v>0</v>
      </c>
      <c r="K62">
        <f>IF([[#This Row],Date]="","",YEAR([[#This Row],Date]))</f>
        <v>0</v>
      </c>
      <c r="L62">
        <f>IF([[#This Row],Date]="","",TEXT([[#This Row],Date],"mmmm"))</f>
        <v>0</v>
      </c>
    </row>
    <row r="63" spans="1:12">
      <c r="A63">
        <f>IF([[#This Row],Date]="","",ROW()-4)</f>
        <v>0</v>
      </c>
      <c r="K63">
        <f>IF([[#This Row],Date]="","",YEAR([[#This Row],Date]))</f>
        <v>0</v>
      </c>
      <c r="L63">
        <f>IF([[#This Row],Date]="","",TEXT([[#This Row],Date],"mmmm"))</f>
        <v>0</v>
      </c>
    </row>
    <row r="64" spans="1:12">
      <c r="A64">
        <f>IF([[#This Row],Date]="","",ROW()-4)</f>
        <v>0</v>
      </c>
      <c r="K64">
        <f>IF([[#This Row],Date]="","",YEAR([[#This Row],Date]))</f>
        <v>0</v>
      </c>
      <c r="L64">
        <f>IF([[#This Row],Date]="","",TEXT([[#This Row],Date],"mmmm"))</f>
        <v>0</v>
      </c>
    </row>
    <row r="65" spans="1:12">
      <c r="A65">
        <f>IF([[#This Row],Date]="","",ROW()-4)</f>
        <v>0</v>
      </c>
      <c r="K65">
        <f>IF([[#This Row],Date]="","",YEAR([[#This Row],Date]))</f>
        <v>0</v>
      </c>
      <c r="L65">
        <f>IF([[#This Row],Date]="","",TEXT([[#This Row],Date],"mmmm"))</f>
        <v>0</v>
      </c>
    </row>
    <row r="66" spans="1:12">
      <c r="A66">
        <f>IF([[#This Row],Date]="","",ROW()-4)</f>
        <v>0</v>
      </c>
      <c r="K66">
        <f>IF([[#This Row],Date]="","",YEAR([[#This Row],Date]))</f>
        <v>0</v>
      </c>
      <c r="L66">
        <f>IF([[#This Row],Date]="","",TEXT([[#This Row],Date],"mmmm"))</f>
        <v>0</v>
      </c>
    </row>
    <row r="67" spans="1:12">
      <c r="A67">
        <f>IF([[#This Row],Date]="","",ROW()-4)</f>
        <v>0</v>
      </c>
      <c r="K67">
        <f>IF([[#This Row],Date]="","",YEAR([[#This Row],Date]))</f>
        <v>0</v>
      </c>
      <c r="L67">
        <f>IF([[#This Row],Date]="","",TEXT([[#This Row],Date],"mmmm"))</f>
        <v>0</v>
      </c>
    </row>
    <row r="68" spans="1:12">
      <c r="A68">
        <f>IF([[#This Row],Date]="","",ROW()-4)</f>
        <v>0</v>
      </c>
      <c r="K68">
        <f>IF([[#This Row],Date]="","",YEAR([[#This Row],Date]))</f>
        <v>0</v>
      </c>
      <c r="L68">
        <f>IF([[#This Row],Date]="","",TEXT([[#This Row],Date],"mmmm"))</f>
        <v>0</v>
      </c>
    </row>
    <row r="69" spans="1:12">
      <c r="A69">
        <f>IF([[#This Row],Date]="","",ROW()-4)</f>
        <v>0</v>
      </c>
      <c r="K69">
        <f>IF([[#This Row],Date]="","",YEAR([[#This Row],Date]))</f>
        <v>0</v>
      </c>
      <c r="L69">
        <f>IF([[#This Row],Date]="","",TEXT([[#This Row],Date],"mmmm"))</f>
        <v>0</v>
      </c>
    </row>
    <row r="70" spans="1:12">
      <c r="A70">
        <f>IF([[#This Row],Date]="","",ROW()-4)</f>
        <v>0</v>
      </c>
      <c r="K70">
        <f>IF([[#This Row],Date]="","",YEAR([[#This Row],Date]))</f>
        <v>0</v>
      </c>
      <c r="L70">
        <f>IF([[#This Row],Date]="","",TEXT([[#This Row],Date],"mmmm"))</f>
        <v>0</v>
      </c>
    </row>
    <row r="71" spans="1:12">
      <c r="A71">
        <f>IF([[#This Row],Date]="","",ROW()-4)</f>
        <v>0</v>
      </c>
      <c r="K71">
        <f>IF([[#This Row],Date]="","",YEAR([[#This Row],Date]))</f>
        <v>0</v>
      </c>
      <c r="L71">
        <f>IF([[#This Row],Date]="","",TEXT([[#This Row],Date],"mmmm"))</f>
        <v>0</v>
      </c>
    </row>
    <row r="72" spans="1:12">
      <c r="A72">
        <f>IF([[#This Row],Date]="","",ROW()-4)</f>
        <v>0</v>
      </c>
      <c r="K72">
        <f>IF([[#This Row],Date]="","",YEAR([[#This Row],Date]))</f>
        <v>0</v>
      </c>
      <c r="L72">
        <f>IF([[#This Row],Date]="","",TEXT([[#This Row],Date],"mmmm"))</f>
        <v>0</v>
      </c>
    </row>
    <row r="73" spans="1:12">
      <c r="A73">
        <f>IF([[#This Row],Date]="","",ROW()-4)</f>
        <v>0</v>
      </c>
      <c r="K73">
        <f>IF([[#This Row],Date]="","",YEAR([[#This Row],Date]))</f>
        <v>0</v>
      </c>
      <c r="L73">
        <f>IF([[#This Row],Date]="","",TEXT([[#This Row],Date],"mmmm"))</f>
        <v>0</v>
      </c>
    </row>
    <row r="74" spans="1:12">
      <c r="A74">
        <f>IF([[#This Row],Date]="","",ROW()-4)</f>
        <v>0</v>
      </c>
      <c r="K74">
        <f>IF([[#This Row],Date]="","",YEAR([[#This Row],Date]))</f>
        <v>0</v>
      </c>
      <c r="L74">
        <f>IF([[#This Row],Date]="","",TEXT([[#This Row],Date],"mmmm"))</f>
        <v>0</v>
      </c>
    </row>
    <row r="75" spans="1:12">
      <c r="A75">
        <f>IF([[#This Row],Date]="","",ROW()-4)</f>
        <v>0</v>
      </c>
      <c r="K75">
        <f>IF([[#This Row],Date]="","",YEAR([[#This Row],Date]))</f>
        <v>0</v>
      </c>
      <c r="L75">
        <f>IF([[#This Row],Date]="","",TEXT([[#This Row],Date],"mmmm"))</f>
        <v>0</v>
      </c>
    </row>
    <row r="76" spans="1:12">
      <c r="A76">
        <f>IF([[#This Row],Date]="","",ROW()-4)</f>
        <v>0</v>
      </c>
      <c r="K76">
        <f>IF([[#This Row],Date]="","",YEAR([[#This Row],Date]))</f>
        <v>0</v>
      </c>
      <c r="L76">
        <f>IF([[#This Row],Date]="","",TEXT([[#This Row],Date],"mmmm"))</f>
        <v>0</v>
      </c>
    </row>
    <row r="77" spans="1:12">
      <c r="A77">
        <f>IF([[#This Row],Date]="","",ROW()-4)</f>
        <v>0</v>
      </c>
      <c r="K77">
        <f>IF([[#This Row],Date]="","",YEAR([[#This Row],Date]))</f>
        <v>0</v>
      </c>
      <c r="L77">
        <f>IF([[#This Row],Date]="","",TEXT([[#This Row],Date],"mmmm"))</f>
        <v>0</v>
      </c>
    </row>
    <row r="78" spans="1:12">
      <c r="A78">
        <f>IF([[#This Row],Date]="","",ROW()-4)</f>
        <v>0</v>
      </c>
      <c r="K78">
        <f>IF([[#This Row],Date]="","",YEAR([[#This Row],Date]))</f>
        <v>0</v>
      </c>
      <c r="L78">
        <f>IF([[#This Row],Date]="","",TEXT([[#This Row],Date],"mmmm"))</f>
        <v>0</v>
      </c>
    </row>
    <row r="79" spans="1:12">
      <c r="A79">
        <f>IF([[#This Row],Date]="","",ROW()-4)</f>
        <v>0</v>
      </c>
      <c r="K79">
        <f>IF([[#This Row],Date]="","",YEAR([[#This Row],Date]))</f>
        <v>0</v>
      </c>
      <c r="L79">
        <f>IF([[#This Row],Date]="","",TEXT([[#This Row],Date],"mmmm"))</f>
        <v>0</v>
      </c>
    </row>
    <row r="80" spans="1:12">
      <c r="A80">
        <f>IF([[#This Row],Date]="","",ROW()-4)</f>
        <v>0</v>
      </c>
      <c r="K80">
        <f>IF([[#This Row],Date]="","",YEAR([[#This Row],Date]))</f>
        <v>0</v>
      </c>
      <c r="L80">
        <f>IF([[#This Row],Date]="","",TEXT([[#This Row],Date],"mmmm"))</f>
        <v>0</v>
      </c>
    </row>
    <row r="81" spans="1:12">
      <c r="A81">
        <f>IF([[#This Row],Date]="","",ROW()-4)</f>
        <v>0</v>
      </c>
      <c r="K81">
        <f>IF([[#This Row],Date]="","",YEAR([[#This Row],Date]))</f>
        <v>0</v>
      </c>
      <c r="L81">
        <f>IF([[#This Row],Date]="","",TEXT([[#This Row],Date],"mmmm"))</f>
        <v>0</v>
      </c>
    </row>
    <row r="82" spans="1:12">
      <c r="A82">
        <f>IF([[#This Row],Date]="","",ROW()-4)</f>
        <v>0</v>
      </c>
      <c r="K82">
        <f>IF([[#This Row],Date]="","",YEAR([[#This Row],Date]))</f>
        <v>0</v>
      </c>
      <c r="L82">
        <f>IF([[#This Row],Date]="","",TEXT([[#This Row],Date],"mmmm"))</f>
        <v>0</v>
      </c>
    </row>
    <row r="83" spans="1:12">
      <c r="A83">
        <f>IF([[#This Row],Date]="","",ROW()-4)</f>
        <v>0</v>
      </c>
      <c r="K83">
        <f>IF([[#This Row],Date]="","",YEAR([[#This Row],Date]))</f>
        <v>0</v>
      </c>
      <c r="L83">
        <f>IF([[#This Row],Date]="","",TEXT([[#This Row],Date],"mmmm"))</f>
        <v>0</v>
      </c>
    </row>
    <row r="84" spans="1:12">
      <c r="A84">
        <f>IF([[#This Row],Date]="","",ROW()-4)</f>
        <v>0</v>
      </c>
      <c r="K84">
        <f>IF([[#This Row],Date]="","",YEAR([[#This Row],Date]))</f>
        <v>0</v>
      </c>
      <c r="L84">
        <f>IF([[#This Row],Date]="","",TEXT([[#This Row],Date],"mmmm"))</f>
        <v>0</v>
      </c>
    </row>
    <row r="85" spans="1:12">
      <c r="A85">
        <f>IF([[#This Row],Date]="","",ROW()-4)</f>
        <v>0</v>
      </c>
      <c r="K85">
        <f>IF([[#This Row],Date]="","",YEAR([[#This Row],Date]))</f>
        <v>0</v>
      </c>
      <c r="L85">
        <f>IF([[#This Row],Date]="","",TEXT([[#This Row],Date],"mmmm"))</f>
        <v>0</v>
      </c>
    </row>
    <row r="86" spans="1:12">
      <c r="A86">
        <f>IF([[#This Row],Date]="","",ROW()-4)</f>
        <v>0</v>
      </c>
      <c r="K86">
        <f>IF([[#This Row],Date]="","",YEAR([[#This Row],Date]))</f>
        <v>0</v>
      </c>
      <c r="L86">
        <f>IF([[#This Row],Date]="","",TEXT([[#This Row],Date],"mmmm"))</f>
        <v>0</v>
      </c>
    </row>
    <row r="87" spans="1:12">
      <c r="A87">
        <f>IF([[#This Row],Date]="","",ROW()-4)</f>
        <v>0</v>
      </c>
      <c r="K87">
        <f>IF([[#This Row],Date]="","",YEAR([[#This Row],Date]))</f>
        <v>0</v>
      </c>
      <c r="L87">
        <f>IF([[#This Row],Date]="","",TEXT([[#This Row],Date],"mmmm"))</f>
        <v>0</v>
      </c>
    </row>
    <row r="88" spans="1:12">
      <c r="A88">
        <f>IF([[#This Row],Date]="","",ROW()-4)</f>
        <v>0</v>
      </c>
      <c r="K88">
        <f>IF([[#This Row],Date]="","",YEAR([[#This Row],Date]))</f>
        <v>0</v>
      </c>
      <c r="L88">
        <f>IF([[#This Row],Date]="","",TEXT([[#This Row],Date],"mmmm"))</f>
        <v>0</v>
      </c>
    </row>
    <row r="89" spans="1:12">
      <c r="A89">
        <f>IF([[#This Row],Date]="","",ROW()-4)</f>
        <v>0</v>
      </c>
      <c r="K89">
        <f>IF([[#This Row],Date]="","",YEAR([[#This Row],Date]))</f>
        <v>0</v>
      </c>
      <c r="L89">
        <f>IF([[#This Row],Date]="","",TEXT([[#This Row],Date],"mmmm"))</f>
        <v>0</v>
      </c>
    </row>
    <row r="90" spans="1:12">
      <c r="A90">
        <f>IF([[#This Row],Date]="","",ROW()-4)</f>
        <v>0</v>
      </c>
      <c r="K90">
        <f>IF([[#This Row],Date]="","",YEAR([[#This Row],Date]))</f>
        <v>0</v>
      </c>
      <c r="L90">
        <f>IF([[#This Row],Date]="","",TEXT([[#This Row],Date],"mmmm"))</f>
        <v>0</v>
      </c>
    </row>
    <row r="91" spans="1:12">
      <c r="A91">
        <f>IF([[#This Row],Date]="","",ROW()-4)</f>
        <v>0</v>
      </c>
      <c r="K91">
        <f>IF([[#This Row],Date]="","",YEAR([[#This Row],Date]))</f>
        <v>0</v>
      </c>
      <c r="L91">
        <f>IF([[#This Row],Date]="","",TEXT([[#This Row],Date],"mmmm"))</f>
        <v>0</v>
      </c>
    </row>
    <row r="92" spans="1:12">
      <c r="A92">
        <f>IF([[#This Row],Date]="","",ROW()-4)</f>
        <v>0</v>
      </c>
      <c r="K92">
        <f>IF([[#This Row],Date]="","",YEAR([[#This Row],Date]))</f>
        <v>0</v>
      </c>
      <c r="L92">
        <f>IF([[#This Row],Date]="","",TEXT([[#This Row],Date],"mmmm"))</f>
        <v>0</v>
      </c>
    </row>
    <row r="93" spans="1:12">
      <c r="A93">
        <f>IF([[#This Row],Date]="","",ROW()-4)</f>
        <v>0</v>
      </c>
      <c r="K93">
        <f>IF([[#This Row],Date]="","",YEAR([[#This Row],Date]))</f>
        <v>0</v>
      </c>
      <c r="L93">
        <f>IF([[#This Row],Date]="","",TEXT([[#This Row],Date],"mmmm"))</f>
        <v>0</v>
      </c>
    </row>
    <row r="94" spans="1:12">
      <c r="A94">
        <f>IF([[#This Row],Date]="","",ROW()-4)</f>
        <v>0</v>
      </c>
      <c r="K94">
        <f>IF([[#This Row],Date]="","",YEAR([[#This Row],Date]))</f>
        <v>0</v>
      </c>
      <c r="L94">
        <f>IF([[#This Row],Date]="","",TEXT([[#This Row],Date],"mmmm"))</f>
        <v>0</v>
      </c>
    </row>
    <row r="95" spans="1:12">
      <c r="A95">
        <f>IF([[#This Row],Date]="","",ROW()-4)</f>
        <v>0</v>
      </c>
      <c r="K95">
        <f>IF([[#This Row],Date]="","",YEAR([[#This Row],Date]))</f>
        <v>0</v>
      </c>
      <c r="L95">
        <f>IF([[#This Row],Date]="","",TEXT([[#This Row],Date],"mmmm"))</f>
        <v>0</v>
      </c>
    </row>
    <row r="96" spans="1:12">
      <c r="A96">
        <f>IF([[#This Row],Date]="","",ROW()-4)</f>
        <v>0</v>
      </c>
      <c r="K96">
        <f>IF([[#This Row],Date]="","",YEAR([[#This Row],Date]))</f>
        <v>0</v>
      </c>
      <c r="L96">
        <f>IF([[#This Row],Date]="","",TEXT([[#This Row],Date],"mmmm"))</f>
        <v>0</v>
      </c>
    </row>
    <row r="97" spans="1:12">
      <c r="A97">
        <f>IF([[#This Row],Date]="","",ROW()-4)</f>
        <v>0</v>
      </c>
      <c r="K97">
        <f>IF([[#This Row],Date]="","",YEAR([[#This Row],Date]))</f>
        <v>0</v>
      </c>
      <c r="L97">
        <f>IF([[#This Row],Date]="","",TEXT([[#This Row],Date],"mmmm"))</f>
        <v>0</v>
      </c>
    </row>
    <row r="98" spans="1:12">
      <c r="A98">
        <f>IF([[#This Row],Date]="","",ROW()-4)</f>
        <v>0</v>
      </c>
      <c r="K98">
        <f>IF([[#This Row],Date]="","",YEAR([[#This Row],Date]))</f>
        <v>0</v>
      </c>
      <c r="L98">
        <f>IF([[#This Row],Date]="","",TEXT([[#This Row],Date],"mmmm"))</f>
        <v>0</v>
      </c>
    </row>
    <row r="99" spans="1:12">
      <c r="A99">
        <f>IF([[#This Row],Date]="","",ROW()-4)</f>
        <v>0</v>
      </c>
      <c r="K99">
        <f>IF([[#This Row],Date]="","",YEAR([[#This Row],Date]))</f>
        <v>0</v>
      </c>
      <c r="L99">
        <f>IF([[#This Row],Date]="","",TEXT([[#This Row],Date],"mmmm"))</f>
        <v>0</v>
      </c>
    </row>
    <row r="100" spans="1:12">
      <c r="A100">
        <f>IF([[#This Row],Date]="","",ROW()-4)</f>
        <v>0</v>
      </c>
      <c r="K100">
        <f>IF([[#This Row],Date]="","",YEAR([[#This Row],Date]))</f>
        <v>0</v>
      </c>
      <c r="L100">
        <f>IF([[#This Row],Date]="","",TEXT([[#This Row],Date],"mmmm"))</f>
        <v>0</v>
      </c>
    </row>
    <row r="101" spans="1:12">
      <c r="A101">
        <f>IF([[#This Row],Date]="","",ROW()-4)</f>
        <v>0</v>
      </c>
      <c r="K101">
        <f>IF([[#This Row],Date]="","",YEAR([[#This Row],Date]))</f>
        <v>0</v>
      </c>
      <c r="L101">
        <f>IF([[#This Row],Date]="","",TEXT([[#This Row],Date],"mmmm"))</f>
        <v>0</v>
      </c>
    </row>
    <row r="102" spans="1:12">
      <c r="A102">
        <f>IF([[#This Row],Date]="","",ROW()-4)</f>
        <v>0</v>
      </c>
      <c r="K102">
        <f>IF([[#This Row],Date]="","",YEAR([[#This Row],Date]))</f>
        <v>0</v>
      </c>
      <c r="L102">
        <f>IF([[#This Row],Date]="","",TEXT([[#This Row],Date],"mmmm"))</f>
        <v>0</v>
      </c>
    </row>
    <row r="103" spans="1:12">
      <c r="A103">
        <f>IF([[#This Row],Date]="","",ROW()-4)</f>
        <v>0</v>
      </c>
      <c r="K103">
        <f>IF([[#This Row],Date]="","",YEAR([[#This Row],Date]))</f>
        <v>0</v>
      </c>
      <c r="L103">
        <f>IF([[#This Row],Date]="","",TEXT([[#This Row],Date],"mmmm"))</f>
        <v>0</v>
      </c>
    </row>
    <row r="104" spans="1:12">
      <c r="A104">
        <f>IF([[#This Row],Date]="","",ROW()-4)</f>
        <v>0</v>
      </c>
      <c r="K104">
        <f>IF([[#This Row],Date]="","",YEAR([[#This Row],Date]))</f>
        <v>0</v>
      </c>
      <c r="L104">
        <f>IF([[#This Row],Date]="","",TEXT([[#This Row],Date],"mmmm"))</f>
        <v>0</v>
      </c>
    </row>
    <row r="105" spans="1:12">
      <c r="A105">
        <f>IF([[#This Row],Date]="","",ROW()-4)</f>
        <v>0</v>
      </c>
      <c r="K105">
        <f>IF([[#This Row],Date]="","",YEAR([[#This Row],Date]))</f>
        <v>0</v>
      </c>
      <c r="L105">
        <f>IF([[#This Row],Date]="","",TEXT([[#This Row],Date],"mmmm"))</f>
        <v>0</v>
      </c>
    </row>
    <row r="106" spans="1:12">
      <c r="A106">
        <f>IF([[#This Row],Date]="","",ROW()-4)</f>
        <v>0</v>
      </c>
      <c r="K106">
        <f>IF([[#This Row],Date]="","",YEAR([[#This Row],Date]))</f>
        <v>0</v>
      </c>
      <c r="L106">
        <f>IF([[#This Row],Date]="","",TEXT([[#This Row],Date],"mmmm"))</f>
        <v>0</v>
      </c>
    </row>
    <row r="107" spans="1:12">
      <c r="A107">
        <f>IF([[#This Row],Date]="","",ROW()-4)</f>
        <v>0</v>
      </c>
      <c r="K107">
        <f>IF([[#This Row],Date]="","",YEAR([[#This Row],Date]))</f>
        <v>0</v>
      </c>
      <c r="L107">
        <f>IF([[#This Row],Date]="","",TEXT([[#This Row],Date],"mmmm"))</f>
        <v>0</v>
      </c>
    </row>
    <row r="108" spans="1:12">
      <c r="A108">
        <f>IF([[#This Row],Date]="","",ROW()-4)</f>
        <v>0</v>
      </c>
      <c r="K108">
        <f>IF([[#This Row],Date]="","",YEAR([[#This Row],Date]))</f>
        <v>0</v>
      </c>
      <c r="L108">
        <f>IF([[#This Row],Date]="","",TEXT([[#This Row],Date],"mmmm"))</f>
        <v>0</v>
      </c>
    </row>
    <row r="109" spans="1:12">
      <c r="A109">
        <f>IF([[#This Row],Date]="","",ROW()-4)</f>
        <v>0</v>
      </c>
      <c r="K109">
        <f>IF([[#This Row],Date]="","",YEAR([[#This Row],Date]))</f>
        <v>0</v>
      </c>
      <c r="L109">
        <f>IF([[#This Row],Date]="","",TEXT([[#This Row],Date],"mmmm"))</f>
        <v>0</v>
      </c>
    </row>
    <row r="110" spans="1:12">
      <c r="A110">
        <f>IF([[#This Row],Date]="","",ROW()-4)</f>
        <v>0</v>
      </c>
      <c r="K110">
        <f>IF([[#This Row],Date]="","",YEAR([[#This Row],Date]))</f>
        <v>0</v>
      </c>
      <c r="L110">
        <f>IF([[#This Row],Date]="","",TEXT([[#This Row],Date],"mmmm"))</f>
        <v>0</v>
      </c>
    </row>
    <row r="111" spans="1:12">
      <c r="A111">
        <f>IF([[#This Row],Date]="","",ROW()-4)</f>
        <v>0</v>
      </c>
      <c r="K111">
        <f>IF([[#This Row],Date]="","",YEAR([[#This Row],Date]))</f>
        <v>0</v>
      </c>
      <c r="L111">
        <f>IF([[#This Row],Date]="","",TEXT([[#This Row],Date],"mmmm"))</f>
        <v>0</v>
      </c>
    </row>
    <row r="112" spans="1:12">
      <c r="A112">
        <f>IF([[#This Row],Date]="","",ROW()-4)</f>
        <v>0</v>
      </c>
      <c r="K112">
        <f>IF([[#This Row],Date]="","",YEAR([[#This Row],Date]))</f>
        <v>0</v>
      </c>
      <c r="L112">
        <f>IF([[#This Row],Date]="","",TEXT([[#This Row],Date],"mmmm"))</f>
        <v>0</v>
      </c>
    </row>
    <row r="113" spans="1:12">
      <c r="A113">
        <f>IF([[#This Row],Date]="","",ROW()-4)</f>
        <v>0</v>
      </c>
      <c r="K113">
        <f>IF([[#This Row],Date]="","",YEAR([[#This Row],Date]))</f>
        <v>0</v>
      </c>
      <c r="L113">
        <f>IF([[#This Row],Date]="","",TEXT([[#This Row],Date],"mmmm"))</f>
        <v>0</v>
      </c>
    </row>
    <row r="114" spans="1:12">
      <c r="A114">
        <f>IF([[#This Row],Date]="","",ROW()-4)</f>
        <v>0</v>
      </c>
      <c r="K114">
        <f>IF([[#This Row],Date]="","",YEAR([[#This Row],Date]))</f>
        <v>0</v>
      </c>
      <c r="L114">
        <f>IF([[#This Row],Date]="","",TEXT([[#This Row],Date],"mmmm"))</f>
        <v>0</v>
      </c>
    </row>
    <row r="115" spans="1:12">
      <c r="A115">
        <f>IF([[#This Row],Date]="","",ROW()-4)</f>
        <v>0</v>
      </c>
      <c r="K115">
        <f>IF([[#This Row],Date]="","",YEAR([[#This Row],Date]))</f>
        <v>0</v>
      </c>
      <c r="L115">
        <f>IF([[#This Row],Date]="","",TEXT([[#This Row],Date],"mmmm"))</f>
        <v>0</v>
      </c>
    </row>
    <row r="116" spans="1:12">
      <c r="A116">
        <f>IF([[#This Row],Date]="","",ROW()-4)</f>
        <v>0</v>
      </c>
      <c r="K116">
        <f>IF([[#This Row],Date]="","",YEAR([[#This Row],Date]))</f>
        <v>0</v>
      </c>
      <c r="L116">
        <f>IF([[#This Row],Date]="","",TEXT([[#This Row],Date],"mmmm"))</f>
        <v>0</v>
      </c>
    </row>
    <row r="117" spans="1:12">
      <c r="A117">
        <f>IF([[#This Row],Date]="","",ROW()-4)</f>
        <v>0</v>
      </c>
      <c r="K117">
        <f>IF([[#This Row],Date]="","",YEAR([[#This Row],Date]))</f>
        <v>0</v>
      </c>
      <c r="L117">
        <f>IF([[#This Row],Date]="","",TEXT([[#This Row],Date],"mmmm"))</f>
        <v>0</v>
      </c>
    </row>
    <row r="118" spans="1:12">
      <c r="A118">
        <f>IF([[#This Row],Date]="","",ROW()-4)</f>
        <v>0</v>
      </c>
      <c r="K118">
        <f>IF([[#This Row],Date]="","",YEAR([[#This Row],Date]))</f>
        <v>0</v>
      </c>
      <c r="L118">
        <f>IF([[#This Row],Date]="","",TEXT([[#This Row],Date],"mmmm"))</f>
        <v>0</v>
      </c>
    </row>
    <row r="119" spans="1:12">
      <c r="A119">
        <f>IF([[#This Row],Date]="","",ROW()-4)</f>
        <v>0</v>
      </c>
      <c r="K119">
        <f>IF([[#This Row],Date]="","",YEAR([[#This Row],Date]))</f>
        <v>0</v>
      </c>
      <c r="L119">
        <f>IF([[#This Row],Date]="","",TEXT([[#This Row],Date],"mmmm"))</f>
        <v>0</v>
      </c>
    </row>
    <row r="120" spans="1:12">
      <c r="A120">
        <f>IF([[#This Row],Date]="","",ROW()-4)</f>
        <v>0</v>
      </c>
      <c r="K120">
        <f>IF([[#This Row],Date]="","",YEAR([[#This Row],Date]))</f>
        <v>0</v>
      </c>
      <c r="L120">
        <f>IF([[#This Row],Date]="","",TEXT([[#This Row],Date],"mmmm"))</f>
        <v>0</v>
      </c>
    </row>
    <row r="121" spans="1:12">
      <c r="A121">
        <f>IF([[#This Row],Date]="","",ROW()-4)</f>
        <v>0</v>
      </c>
      <c r="K121">
        <f>IF([[#This Row],Date]="","",YEAR([[#This Row],Date]))</f>
        <v>0</v>
      </c>
      <c r="L121">
        <f>IF([[#This Row],Date]="","",TEXT([[#This Row],Date],"mmmm"))</f>
        <v>0</v>
      </c>
    </row>
    <row r="122" spans="1:12">
      <c r="A122">
        <f>IF([[#This Row],Date]="","",ROW()-4)</f>
        <v>0</v>
      </c>
      <c r="K122">
        <f>IF([[#This Row],Date]="","",YEAR([[#This Row],Date]))</f>
        <v>0</v>
      </c>
      <c r="L122">
        <f>IF([[#This Row],Date]="","",TEXT([[#This Row],Date],"mmmm"))</f>
        <v>0</v>
      </c>
    </row>
    <row r="123" spans="1:12">
      <c r="A123">
        <f>IF([[#This Row],Date]="","",ROW()-4)</f>
        <v>0</v>
      </c>
      <c r="K123">
        <f>IF([[#This Row],Date]="","",YEAR([[#This Row],Date]))</f>
        <v>0</v>
      </c>
      <c r="L123">
        <f>IF([[#This Row],Date]="","",TEXT([[#This Row],Date],"mmmm"))</f>
        <v>0</v>
      </c>
    </row>
    <row r="124" spans="1:12">
      <c r="A124">
        <f>IF([[#This Row],Date]="","",ROW()-4)</f>
        <v>0</v>
      </c>
      <c r="K124">
        <f>IF([[#This Row],Date]="","",YEAR([[#This Row],Date]))</f>
        <v>0</v>
      </c>
      <c r="L124">
        <f>IF([[#This Row],Date]="","",TEXT([[#This Row],Date],"mmmm"))</f>
        <v>0</v>
      </c>
    </row>
    <row r="125" spans="1:12">
      <c r="A125">
        <f>IF([[#This Row],Date]="","",ROW()-4)</f>
        <v>0</v>
      </c>
      <c r="K125">
        <f>IF([[#This Row],Date]="","",YEAR([[#This Row],Date]))</f>
        <v>0</v>
      </c>
      <c r="L125">
        <f>IF([[#This Row],Date]="","",TEXT([[#This Row],Date],"mmmm"))</f>
        <v>0</v>
      </c>
    </row>
    <row r="126" spans="1:12">
      <c r="A126">
        <f>IF([[#This Row],Date]="","",ROW()-4)</f>
        <v>0</v>
      </c>
      <c r="K126">
        <f>IF([[#This Row],Date]="","",YEAR([[#This Row],Date]))</f>
        <v>0</v>
      </c>
      <c r="L126">
        <f>IF([[#This Row],Date]="","",TEXT([[#This Row],Date],"mmmm"))</f>
        <v>0</v>
      </c>
    </row>
    <row r="127" spans="1:12">
      <c r="A127">
        <f>IF([[#This Row],Date]="","",ROW()-4)</f>
        <v>0</v>
      </c>
      <c r="K127">
        <f>IF([[#This Row],Date]="","",YEAR([[#This Row],Date]))</f>
        <v>0</v>
      </c>
      <c r="L127">
        <f>IF([[#This Row],Date]="","",TEXT([[#This Row],Date],"mmmm"))</f>
        <v>0</v>
      </c>
    </row>
    <row r="128" spans="1:12">
      <c r="A128">
        <f>IF([[#This Row],Date]="","",ROW()-4)</f>
        <v>0</v>
      </c>
      <c r="K128">
        <f>IF([[#This Row],Date]="","",YEAR([[#This Row],Date]))</f>
        <v>0</v>
      </c>
      <c r="L128">
        <f>IF([[#This Row],Date]="","",TEXT([[#This Row],Date],"mmmm"))</f>
        <v>0</v>
      </c>
    </row>
    <row r="129" spans="1:12">
      <c r="A129">
        <f>IF([[#This Row],Date]="","",ROW()-4)</f>
        <v>0</v>
      </c>
      <c r="K129">
        <f>IF([[#This Row],Date]="","",YEAR([[#This Row],Date]))</f>
        <v>0</v>
      </c>
      <c r="L129">
        <f>IF([[#This Row],Date]="","",TEXT([[#This Row],Date],"mmmm"))</f>
        <v>0</v>
      </c>
    </row>
    <row r="130" spans="1:12">
      <c r="A130">
        <f>IF([[#This Row],Date]="","",ROW()-4)</f>
        <v>0</v>
      </c>
      <c r="K130">
        <f>IF([[#This Row],Date]="","",YEAR([[#This Row],Date]))</f>
        <v>0</v>
      </c>
      <c r="L130">
        <f>IF([[#This Row],Date]="","",TEXT([[#This Row],Date],"mmmm"))</f>
        <v>0</v>
      </c>
    </row>
    <row r="131" spans="1:12">
      <c r="A131">
        <f>IF([[#This Row],Date]="","",ROW()-4)</f>
        <v>0</v>
      </c>
      <c r="K131">
        <f>IF([[#This Row],Date]="","",YEAR([[#This Row],Date]))</f>
        <v>0</v>
      </c>
      <c r="L131">
        <f>IF([[#This Row],Date]="","",TEXT([[#This Row],Date],"mmmm"))</f>
        <v>0</v>
      </c>
    </row>
    <row r="132" spans="1:12">
      <c r="A132">
        <f>IF([[#This Row],Date]="","",ROW()-4)</f>
        <v>0</v>
      </c>
      <c r="K132">
        <f>IF([[#This Row],Date]="","",YEAR([[#This Row],Date]))</f>
        <v>0</v>
      </c>
      <c r="L132">
        <f>IF([[#This Row],Date]="","",TEXT([[#This Row],Date],"mmmm"))</f>
        <v>0</v>
      </c>
    </row>
    <row r="133" spans="1:12">
      <c r="A133">
        <f>IF([[#This Row],Date]="","",ROW()-4)</f>
        <v>0</v>
      </c>
      <c r="K133">
        <f>IF([[#This Row],Date]="","",YEAR([[#This Row],Date]))</f>
        <v>0</v>
      </c>
      <c r="L133">
        <f>IF([[#This Row],Date]="","",TEXT([[#This Row],Date],"mmmm"))</f>
        <v>0</v>
      </c>
    </row>
    <row r="134" spans="1:12">
      <c r="A134">
        <f>IF([[#This Row],Date]="","",ROW()-4)</f>
        <v>0</v>
      </c>
      <c r="K134">
        <f>IF([[#This Row],Date]="","",YEAR([[#This Row],Date]))</f>
        <v>0</v>
      </c>
      <c r="L134">
        <f>IF([[#This Row],Date]="","",TEXT([[#This Row],Date],"mmmm"))</f>
        <v>0</v>
      </c>
    </row>
    <row r="135" spans="1:12">
      <c r="A135">
        <f>IF([[#This Row],Date]="","",ROW()-4)</f>
        <v>0</v>
      </c>
      <c r="K135">
        <f>IF([[#This Row],Date]="","",YEAR([[#This Row],Date]))</f>
        <v>0</v>
      </c>
      <c r="L135">
        <f>IF([[#This Row],Date]="","",TEXT([[#This Row],Date],"mmmm"))</f>
        <v>0</v>
      </c>
    </row>
    <row r="136" spans="1:12">
      <c r="A136">
        <f>IF([[#This Row],Date]="","",ROW()-4)</f>
        <v>0</v>
      </c>
      <c r="K136">
        <f>IF([[#This Row],Date]="","",YEAR([[#This Row],Date]))</f>
        <v>0</v>
      </c>
      <c r="L136">
        <f>IF([[#This Row],Date]="","",TEXT([[#This Row],Date],"mmmm"))</f>
        <v>0</v>
      </c>
    </row>
    <row r="137" spans="1:12">
      <c r="A137">
        <f>IF([[#This Row],Date]="","",ROW()-4)</f>
        <v>0</v>
      </c>
      <c r="K137">
        <f>IF([[#This Row],Date]="","",YEAR([[#This Row],Date]))</f>
        <v>0</v>
      </c>
      <c r="L137">
        <f>IF([[#This Row],Date]="","",TEXT([[#This Row],Date],"mmmm"))</f>
        <v>0</v>
      </c>
    </row>
    <row r="138" spans="1:12">
      <c r="A138">
        <f>IF([[#This Row],Date]="","",ROW()-4)</f>
        <v>0</v>
      </c>
      <c r="K138">
        <f>IF([[#This Row],Date]="","",YEAR([[#This Row],Date]))</f>
        <v>0</v>
      </c>
      <c r="L138">
        <f>IF([[#This Row],Date]="","",TEXT([[#This Row],Date],"mmmm"))</f>
        <v>0</v>
      </c>
    </row>
    <row r="139" spans="1:12">
      <c r="A139">
        <f>IF([[#This Row],Date]="","",ROW()-4)</f>
        <v>0</v>
      </c>
      <c r="K139">
        <f>IF([[#This Row],Date]="","",YEAR([[#This Row],Date]))</f>
        <v>0</v>
      </c>
      <c r="L139">
        <f>IF([[#This Row],Date]="","",TEXT([[#This Row],Date],"mmmm"))</f>
        <v>0</v>
      </c>
    </row>
    <row r="140" spans="1:12">
      <c r="A140">
        <f>IF([[#This Row],Date]="","",ROW()-4)</f>
        <v>0</v>
      </c>
      <c r="K140">
        <f>IF([[#This Row],Date]="","",YEAR([[#This Row],Date]))</f>
        <v>0</v>
      </c>
      <c r="L140">
        <f>IF([[#This Row],Date]="","",TEXT([[#This Row],Date],"mmmm"))</f>
        <v>0</v>
      </c>
    </row>
    <row r="141" spans="1:12">
      <c r="A141">
        <f>IF([[#This Row],Date]="","",ROW()-4)</f>
        <v>0</v>
      </c>
      <c r="K141">
        <f>IF([[#This Row],Date]="","",YEAR([[#This Row],Date]))</f>
        <v>0</v>
      </c>
      <c r="L141">
        <f>IF([[#This Row],Date]="","",TEXT([[#This Row],Date],"mmmm"))</f>
        <v>0</v>
      </c>
    </row>
    <row r="142" spans="1:12">
      <c r="A142">
        <f>IF([[#This Row],Date]="","",ROW()-4)</f>
        <v>0</v>
      </c>
      <c r="K142">
        <f>IF([[#This Row],Date]="","",YEAR([[#This Row],Date]))</f>
        <v>0</v>
      </c>
      <c r="L142">
        <f>IF([[#This Row],Date]="","",TEXT([[#This Row],Date],"mmmm"))</f>
        <v>0</v>
      </c>
    </row>
    <row r="143" spans="1:12">
      <c r="A143">
        <f>IF([[#This Row],Date]="","",ROW()-4)</f>
        <v>0</v>
      </c>
      <c r="K143">
        <f>IF([[#This Row],Date]="","",YEAR([[#This Row],Date]))</f>
        <v>0</v>
      </c>
      <c r="L143">
        <f>IF([[#This Row],Date]="","",TEXT([[#This Row],Date],"mmmm"))</f>
        <v>0</v>
      </c>
    </row>
    <row r="144" spans="1:12">
      <c r="A144">
        <f>IF([[#This Row],Date]="","",ROW()-4)</f>
        <v>0</v>
      </c>
      <c r="K144">
        <f>IF([[#This Row],Date]="","",YEAR([[#This Row],Date]))</f>
        <v>0</v>
      </c>
      <c r="L144">
        <f>IF([[#This Row],Date]="","",TEXT([[#This Row],Date],"mmmm"))</f>
        <v>0</v>
      </c>
    </row>
    <row r="145" spans="1:12">
      <c r="A145">
        <f>IF([[#This Row],Date]="","",ROW()-4)</f>
        <v>0</v>
      </c>
      <c r="K145">
        <f>IF([[#This Row],Date]="","",YEAR([[#This Row],Date]))</f>
        <v>0</v>
      </c>
      <c r="L145">
        <f>IF([[#This Row],Date]="","",TEXT([[#This Row],Date],"mmmm"))</f>
        <v>0</v>
      </c>
    </row>
    <row r="146" spans="1:12">
      <c r="A146">
        <f>IF([[#This Row],Date]="","",ROW()-4)</f>
        <v>0</v>
      </c>
      <c r="K146">
        <f>IF([[#This Row],Date]="","",YEAR([[#This Row],Date]))</f>
        <v>0</v>
      </c>
      <c r="L146">
        <f>IF([[#This Row],Date]="","",TEXT([[#This Row],Date],"mmmm"))</f>
        <v>0</v>
      </c>
    </row>
    <row r="147" spans="1:12">
      <c r="A147">
        <f>IF([[#This Row],Date]="","",ROW()-4)</f>
        <v>0</v>
      </c>
      <c r="K147">
        <f>IF([[#This Row],Date]="","",YEAR([[#This Row],Date]))</f>
        <v>0</v>
      </c>
      <c r="L147">
        <f>IF([[#This Row],Date]="","",TEXT([[#This Row],Date],"mmmm"))</f>
        <v>0</v>
      </c>
    </row>
    <row r="148" spans="1:12">
      <c r="A148">
        <f>IF([[#This Row],Date]="","",ROW()-4)</f>
        <v>0</v>
      </c>
      <c r="K148">
        <f>IF([[#This Row],Date]="","",YEAR([[#This Row],Date]))</f>
        <v>0</v>
      </c>
      <c r="L148">
        <f>IF([[#This Row],Date]="","",TEXT([[#This Row],Date],"mmmm"))</f>
        <v>0</v>
      </c>
    </row>
    <row r="149" spans="1:12">
      <c r="A149">
        <f>IF([[#This Row],Date]="","",ROW()-4)</f>
        <v>0</v>
      </c>
      <c r="K149">
        <f>IF([[#This Row],Date]="","",YEAR([[#This Row],Date]))</f>
        <v>0</v>
      </c>
      <c r="L149">
        <f>IF([[#This Row],Date]="","",TEXT([[#This Row],Date],"mmmm"))</f>
        <v>0</v>
      </c>
    </row>
    <row r="150" spans="1:12">
      <c r="A150">
        <f>IF([[#This Row],Date]="","",ROW()-4)</f>
        <v>0</v>
      </c>
      <c r="K150">
        <f>IF([[#This Row],Date]="","",YEAR([[#This Row],Date]))</f>
        <v>0</v>
      </c>
      <c r="L150">
        <f>IF([[#This Row],Date]="","",TEXT([[#This Row],Date],"mmmm"))</f>
        <v>0</v>
      </c>
    </row>
    <row r="151" spans="1:12">
      <c r="A151">
        <f>IF([[#This Row],Date]="","",ROW()-4)</f>
        <v>0</v>
      </c>
      <c r="K151">
        <f>IF([[#This Row],Date]="","",YEAR([[#This Row],Date]))</f>
        <v>0</v>
      </c>
      <c r="L151">
        <f>IF([[#This Row],Date]="","",TEXT([[#This Row],Date],"mmmm"))</f>
        <v>0</v>
      </c>
    </row>
    <row r="152" spans="1:12">
      <c r="A152">
        <f>IF([[#This Row],Date]="","",ROW()-4)</f>
        <v>0</v>
      </c>
      <c r="K152">
        <f>IF([[#This Row],Date]="","",YEAR([[#This Row],Date]))</f>
        <v>0</v>
      </c>
      <c r="L152">
        <f>IF([[#This Row],Date]="","",TEXT([[#This Row],Date],"mmmm"))</f>
        <v>0</v>
      </c>
    </row>
    <row r="153" spans="1:12">
      <c r="A153">
        <f>IF([[#This Row],Date]="","",ROW()-4)</f>
        <v>0</v>
      </c>
      <c r="K153">
        <f>IF([[#This Row],Date]="","",YEAR([[#This Row],Date]))</f>
        <v>0</v>
      </c>
      <c r="L153">
        <f>IF([[#This Row],Date]="","",TEXT([[#This Row],Date],"mmmm"))</f>
        <v>0</v>
      </c>
    </row>
    <row r="154" spans="1:12">
      <c r="A154">
        <f>IF([[#This Row],Date]="","",ROW()-4)</f>
        <v>0</v>
      </c>
      <c r="K154">
        <f>IF([[#This Row],Date]="","",YEAR([[#This Row],Date]))</f>
        <v>0</v>
      </c>
      <c r="L154">
        <f>IF([[#This Row],Date]="","",TEXT([[#This Row],Date],"mmmm"))</f>
        <v>0</v>
      </c>
    </row>
    <row r="155" spans="1:12">
      <c r="A155">
        <f>IF([[#This Row],Date]="","",ROW()-4)</f>
        <v>0</v>
      </c>
      <c r="K155">
        <f>IF([[#This Row],Date]="","",YEAR([[#This Row],Date]))</f>
        <v>0</v>
      </c>
      <c r="L155">
        <f>IF([[#This Row],Date]="","",TEXT([[#This Row],Date],"mmmm"))</f>
        <v>0</v>
      </c>
    </row>
    <row r="156" spans="1:12">
      <c r="A156">
        <f>IF([[#This Row],Date]="","",ROW()-4)</f>
        <v>0</v>
      </c>
      <c r="K156">
        <f>IF([[#This Row],Date]="","",YEAR([[#This Row],Date]))</f>
        <v>0</v>
      </c>
      <c r="L156">
        <f>IF([[#This Row],Date]="","",TEXT([[#This Row],Date],"mmmm"))</f>
        <v>0</v>
      </c>
    </row>
    <row r="157" spans="1:12">
      <c r="A157">
        <f>IF([[#This Row],Date]="","",ROW()-4)</f>
        <v>0</v>
      </c>
      <c r="K157">
        <f>IF([[#This Row],Date]="","",YEAR([[#This Row],Date]))</f>
        <v>0</v>
      </c>
      <c r="L157">
        <f>IF([[#This Row],Date]="","",TEXT([[#This Row],Date],"mmmm"))</f>
        <v>0</v>
      </c>
    </row>
    <row r="158" spans="1:12">
      <c r="A158">
        <f>IF([[#This Row],Date]="","",ROW()-4)</f>
        <v>0</v>
      </c>
      <c r="K158">
        <f>IF([[#This Row],Date]="","",YEAR([[#This Row],Date]))</f>
        <v>0</v>
      </c>
      <c r="L158">
        <f>IF([[#This Row],Date]="","",TEXT([[#This Row],Date],"mmmm"))</f>
        <v>0</v>
      </c>
    </row>
    <row r="159" spans="1:12">
      <c r="A159">
        <f>IF([[#This Row],Date]="","",ROW()-4)</f>
        <v>0</v>
      </c>
      <c r="K159">
        <f>IF([[#This Row],Date]="","",YEAR([[#This Row],Date]))</f>
        <v>0</v>
      </c>
      <c r="L159">
        <f>IF([[#This Row],Date]="","",TEXT([[#This Row],Date],"mmmm"))</f>
        <v>0</v>
      </c>
    </row>
    <row r="160" spans="1:12">
      <c r="A160">
        <f>IF([[#This Row],Date]="","",ROW()-4)</f>
        <v>0</v>
      </c>
      <c r="K160">
        <f>IF([[#This Row],Date]="","",YEAR([[#This Row],Date]))</f>
        <v>0</v>
      </c>
      <c r="L160">
        <f>IF([[#This Row],Date]="","",TEXT([[#This Row],Date],"mmmm"))</f>
        <v>0</v>
      </c>
    </row>
    <row r="161" spans="1:12">
      <c r="A161">
        <f>IF([[#This Row],Date]="","",ROW()-4)</f>
        <v>0</v>
      </c>
      <c r="K161">
        <f>IF([[#This Row],Date]="","",YEAR([[#This Row],Date]))</f>
        <v>0</v>
      </c>
      <c r="L161">
        <f>IF([[#This Row],Date]="","",TEXT([[#This Row],Date],"mmmm"))</f>
        <v>0</v>
      </c>
    </row>
    <row r="162" spans="1:12">
      <c r="A162">
        <f>IF([[#This Row],Date]="","",ROW()-4)</f>
        <v>0</v>
      </c>
      <c r="K162">
        <f>IF([[#This Row],Date]="","",YEAR([[#This Row],Date]))</f>
        <v>0</v>
      </c>
      <c r="L162">
        <f>IF([[#This Row],Date]="","",TEXT([[#This Row],Date],"mmmm"))</f>
        <v>0</v>
      </c>
    </row>
    <row r="163" spans="1:12">
      <c r="A163">
        <f>IF([[#This Row],Date]="","",ROW()-4)</f>
        <v>0</v>
      </c>
      <c r="K163">
        <f>IF([[#This Row],Date]="","",YEAR([[#This Row],Date]))</f>
        <v>0</v>
      </c>
      <c r="L163">
        <f>IF([[#This Row],Date]="","",TEXT([[#This Row],Date],"mmmm"))</f>
        <v>0</v>
      </c>
    </row>
    <row r="164" spans="1:12">
      <c r="A164">
        <f>IF([[#This Row],Date]="","",ROW()-4)</f>
        <v>0</v>
      </c>
      <c r="K164">
        <f>IF([[#This Row],Date]="","",YEAR([[#This Row],Date]))</f>
        <v>0</v>
      </c>
      <c r="L164">
        <f>IF([[#This Row],Date]="","",TEXT([[#This Row],Date],"mmmm"))</f>
        <v>0</v>
      </c>
    </row>
    <row r="165" spans="1:12">
      <c r="A165">
        <f>IF([[#This Row],Date]="","",ROW()-4)</f>
        <v>0</v>
      </c>
      <c r="K165">
        <f>IF([[#This Row],Date]="","",YEAR([[#This Row],Date]))</f>
        <v>0</v>
      </c>
      <c r="L165">
        <f>IF([[#This Row],Date]="","",TEXT([[#This Row],Date],"mmmm"))</f>
        <v>0</v>
      </c>
    </row>
    <row r="166" spans="1:12">
      <c r="A166">
        <f>IF([[#This Row],Date]="","",ROW()-4)</f>
        <v>0</v>
      </c>
      <c r="K166">
        <f>IF([[#This Row],Date]="","",YEAR([[#This Row],Date]))</f>
        <v>0</v>
      </c>
      <c r="L166">
        <f>IF([[#This Row],Date]="","",TEXT([[#This Row],Date],"mmmm"))</f>
        <v>0</v>
      </c>
    </row>
    <row r="167" spans="1:12">
      <c r="A167">
        <f>IF([[#This Row],Date]="","",ROW()-4)</f>
        <v>0</v>
      </c>
      <c r="K167">
        <f>IF([[#This Row],Date]="","",YEAR([[#This Row],Date]))</f>
        <v>0</v>
      </c>
      <c r="L167">
        <f>IF([[#This Row],Date]="","",TEXT([[#This Row],Date],"mmmm"))</f>
        <v>0</v>
      </c>
    </row>
    <row r="168" spans="1:12">
      <c r="A168">
        <f>IF([[#This Row],Date]="","",ROW()-4)</f>
        <v>0</v>
      </c>
      <c r="K168">
        <f>IF([[#This Row],Date]="","",YEAR([[#This Row],Date]))</f>
        <v>0</v>
      </c>
      <c r="L168">
        <f>IF([[#This Row],Date]="","",TEXT([[#This Row],Date],"mmmm"))</f>
        <v>0</v>
      </c>
    </row>
    <row r="169" spans="1:12">
      <c r="A169">
        <f>IF([[#This Row],Date]="","",ROW()-4)</f>
        <v>0</v>
      </c>
      <c r="K169">
        <f>IF([[#This Row],Date]="","",YEAR([[#This Row],Date]))</f>
        <v>0</v>
      </c>
      <c r="L169">
        <f>IF([[#This Row],Date]="","",TEXT([[#This Row],Date],"mmmm"))</f>
        <v>0</v>
      </c>
    </row>
    <row r="170" spans="1:12">
      <c r="A170">
        <f>IF([[#This Row],Date]="","",ROW()-4)</f>
        <v>0</v>
      </c>
      <c r="K170">
        <f>IF([[#This Row],Date]="","",YEAR([[#This Row],Date]))</f>
        <v>0</v>
      </c>
      <c r="L170">
        <f>IF([[#This Row],Date]="","",TEXT([[#This Row],Date],"mmmm"))</f>
        <v>0</v>
      </c>
    </row>
    <row r="171" spans="1:12">
      <c r="A171">
        <f>IF([[#This Row],Date]="","",ROW()-4)</f>
        <v>0</v>
      </c>
      <c r="K171">
        <f>IF([[#This Row],Date]="","",YEAR([[#This Row],Date]))</f>
        <v>0</v>
      </c>
      <c r="L171">
        <f>IF([[#This Row],Date]="","",TEXT([[#This Row],Date],"mmmm"))</f>
        <v>0</v>
      </c>
    </row>
    <row r="172" spans="1:12">
      <c r="A172">
        <f>IF([[#This Row],Date]="","",ROW()-4)</f>
        <v>0</v>
      </c>
      <c r="K172">
        <f>IF([[#This Row],Date]="","",YEAR([[#This Row],Date]))</f>
        <v>0</v>
      </c>
      <c r="L172">
        <f>IF([[#This Row],Date]="","",TEXT([[#This Row],Date],"mmmm"))</f>
        <v>0</v>
      </c>
    </row>
    <row r="173" spans="1:12">
      <c r="A173">
        <f>IF([[#This Row],Date]="","",ROW()-4)</f>
        <v>0</v>
      </c>
      <c r="K173">
        <f>IF([[#This Row],Date]="","",YEAR([[#This Row],Date]))</f>
        <v>0</v>
      </c>
      <c r="L173">
        <f>IF([[#This Row],Date]="","",TEXT([[#This Row],Date],"mmmm"))</f>
        <v>0</v>
      </c>
    </row>
    <row r="174" spans="1:12">
      <c r="A174">
        <f>IF([[#This Row],Date]="","",ROW()-4)</f>
        <v>0</v>
      </c>
      <c r="K174">
        <f>IF([[#This Row],Date]="","",YEAR([[#This Row],Date]))</f>
        <v>0</v>
      </c>
      <c r="L174">
        <f>IF([[#This Row],Date]="","",TEXT([[#This Row],Date],"mmmm"))</f>
        <v>0</v>
      </c>
    </row>
    <row r="175" spans="1:12">
      <c r="A175">
        <f>IF([[#This Row],Date]="","",ROW()-4)</f>
        <v>0</v>
      </c>
      <c r="K175">
        <f>IF([[#This Row],Date]="","",YEAR([[#This Row],Date]))</f>
        <v>0</v>
      </c>
      <c r="L175">
        <f>IF([[#This Row],Date]="","",TEXT([[#This Row],Date],"mmmm"))</f>
        <v>0</v>
      </c>
    </row>
    <row r="176" spans="1:12">
      <c r="A176">
        <f>IF([[#This Row],Date]="","",ROW()-4)</f>
        <v>0</v>
      </c>
      <c r="K176">
        <f>IF([[#This Row],Date]="","",YEAR([[#This Row],Date]))</f>
        <v>0</v>
      </c>
      <c r="L176">
        <f>IF([[#This Row],Date]="","",TEXT([[#This Row],Date],"mmmm"))</f>
        <v>0</v>
      </c>
    </row>
    <row r="177" spans="1:12">
      <c r="A177">
        <f>IF([[#This Row],Date]="","",ROW()-4)</f>
        <v>0</v>
      </c>
      <c r="K177">
        <f>IF([[#This Row],Date]="","",YEAR([[#This Row],Date]))</f>
        <v>0</v>
      </c>
      <c r="L177">
        <f>IF([[#This Row],Date]="","",TEXT([[#This Row],Date],"mmmm"))</f>
        <v>0</v>
      </c>
    </row>
    <row r="178" spans="1:12">
      <c r="A178">
        <f>IF([[#This Row],Date]="","",ROW()-4)</f>
        <v>0</v>
      </c>
      <c r="K178">
        <f>IF([[#This Row],Date]="","",YEAR([[#This Row],Date]))</f>
        <v>0</v>
      </c>
      <c r="L178">
        <f>IF([[#This Row],Date]="","",TEXT([[#This Row],Date],"mmmm"))</f>
        <v>0</v>
      </c>
    </row>
    <row r="179" spans="1:12">
      <c r="A179">
        <f>IF([[#This Row],Date]="","",ROW()-4)</f>
        <v>0</v>
      </c>
      <c r="K179">
        <f>IF([[#This Row],Date]="","",YEAR([[#This Row],Date]))</f>
        <v>0</v>
      </c>
      <c r="L179">
        <f>IF([[#This Row],Date]="","",TEXT([[#This Row],Date],"mmmm"))</f>
        <v>0</v>
      </c>
    </row>
    <row r="180" spans="1:12">
      <c r="A180">
        <f>IF([[#This Row],Date]="","",ROW()-4)</f>
        <v>0</v>
      </c>
      <c r="K180">
        <f>IF([[#This Row],Date]="","",YEAR([[#This Row],Date]))</f>
        <v>0</v>
      </c>
      <c r="L180">
        <f>IF([[#This Row],Date]="","",TEXT([[#This Row],Date],"mmmm"))</f>
        <v>0</v>
      </c>
    </row>
    <row r="181" spans="1:12">
      <c r="A181">
        <f>IF([[#This Row],Date]="","",ROW()-4)</f>
        <v>0</v>
      </c>
      <c r="K181">
        <f>IF([[#This Row],Date]="","",YEAR([[#This Row],Date]))</f>
        <v>0</v>
      </c>
      <c r="L181">
        <f>IF([[#This Row],Date]="","",TEXT([[#This Row],Date],"mmmm"))</f>
        <v>0</v>
      </c>
    </row>
    <row r="182" spans="1:12">
      <c r="A182">
        <f>IF([[#This Row],Date]="","",ROW()-4)</f>
        <v>0</v>
      </c>
      <c r="K182">
        <f>IF([[#This Row],Date]="","",YEAR([[#This Row],Date]))</f>
        <v>0</v>
      </c>
      <c r="L182">
        <f>IF([[#This Row],Date]="","",TEXT([[#This Row],Date],"mmmm"))</f>
        <v>0</v>
      </c>
    </row>
    <row r="183" spans="1:12">
      <c r="A183">
        <f>IF([[#This Row],Date]="","",ROW()-4)</f>
        <v>0</v>
      </c>
      <c r="K183">
        <f>IF([[#This Row],Date]="","",YEAR([[#This Row],Date]))</f>
        <v>0</v>
      </c>
      <c r="L183">
        <f>IF([[#This Row],Date]="","",TEXT([[#This Row],Date],"mmmm"))</f>
        <v>0</v>
      </c>
    </row>
    <row r="184" spans="1:12">
      <c r="A184">
        <f>IF([[#This Row],Date]="","",ROW()-4)</f>
        <v>0</v>
      </c>
      <c r="K184">
        <f>IF([[#This Row],Date]="","",YEAR([[#This Row],Date]))</f>
        <v>0</v>
      </c>
      <c r="L184">
        <f>IF([[#This Row],Date]="","",TEXT([[#This Row],Date],"mmmm"))</f>
        <v>0</v>
      </c>
    </row>
    <row r="185" spans="1:12">
      <c r="A185">
        <f>IF([[#This Row],Date]="","",ROW()-4)</f>
        <v>0</v>
      </c>
      <c r="K185">
        <f>IF([[#This Row],Date]="","",YEAR([[#This Row],Date]))</f>
        <v>0</v>
      </c>
      <c r="L185">
        <f>IF([[#This Row],Date]="","",TEXT([[#This Row],Date],"mmmm"))</f>
        <v>0</v>
      </c>
    </row>
    <row r="186" spans="1:12">
      <c r="A186">
        <f>IF([[#This Row],Date]="","",ROW()-4)</f>
        <v>0</v>
      </c>
      <c r="K186">
        <f>IF([[#This Row],Date]="","",YEAR([[#This Row],Date]))</f>
        <v>0</v>
      </c>
      <c r="L186">
        <f>IF([[#This Row],Date]="","",TEXT([[#This Row],Date],"mmmm"))</f>
        <v>0</v>
      </c>
    </row>
    <row r="187" spans="1:12">
      <c r="A187">
        <f>IF([[#This Row],Date]="","",ROW()-4)</f>
        <v>0</v>
      </c>
      <c r="K187">
        <f>IF([[#This Row],Date]="","",YEAR([[#This Row],Date]))</f>
        <v>0</v>
      </c>
      <c r="L187">
        <f>IF([[#This Row],Date]="","",TEXT([[#This Row],Date],"mmmm"))</f>
        <v>0</v>
      </c>
    </row>
    <row r="188" spans="1:12">
      <c r="A188">
        <f>IF([[#This Row],Date]="","",ROW()-4)</f>
        <v>0</v>
      </c>
      <c r="K188">
        <f>IF([[#This Row],Date]="","",YEAR([[#This Row],Date]))</f>
        <v>0</v>
      </c>
      <c r="L188">
        <f>IF([[#This Row],Date]="","",TEXT([[#This Row],Date],"mmmm"))</f>
        <v>0</v>
      </c>
    </row>
    <row r="189" spans="1:12">
      <c r="A189">
        <f>IF([[#This Row],Date]="","",ROW()-4)</f>
        <v>0</v>
      </c>
      <c r="K189">
        <f>IF([[#This Row],Date]="","",YEAR([[#This Row],Date]))</f>
        <v>0</v>
      </c>
      <c r="L189">
        <f>IF([[#This Row],Date]="","",TEXT([[#This Row],Date],"mmmm"))</f>
        <v>0</v>
      </c>
    </row>
    <row r="190" spans="1:12">
      <c r="A190">
        <f>IF([[#This Row],Date]="","",ROW()-4)</f>
        <v>0</v>
      </c>
      <c r="K190">
        <f>IF([[#This Row],Date]="","",YEAR([[#This Row],Date]))</f>
        <v>0</v>
      </c>
      <c r="L190">
        <f>IF([[#This Row],Date]="","",TEXT([[#This Row],Date],"mmmm"))</f>
        <v>0</v>
      </c>
    </row>
    <row r="191" spans="1:12">
      <c r="A191">
        <f>IF([[#This Row],Date]="","",ROW()-4)</f>
        <v>0</v>
      </c>
      <c r="K191">
        <f>IF([[#This Row],Date]="","",YEAR([[#This Row],Date]))</f>
        <v>0</v>
      </c>
      <c r="L191">
        <f>IF([[#This Row],Date]="","",TEXT([[#This Row],Date],"mmmm"))</f>
        <v>0</v>
      </c>
    </row>
    <row r="192" spans="1:12">
      <c r="A192">
        <f>IF([[#This Row],Date]="","",ROW()-4)</f>
        <v>0</v>
      </c>
      <c r="K192">
        <f>IF([[#This Row],Date]="","",YEAR([[#This Row],Date]))</f>
        <v>0</v>
      </c>
      <c r="L192">
        <f>IF([[#This Row],Date]="","",TEXT([[#This Row],Date],"mmmm"))</f>
        <v>0</v>
      </c>
    </row>
    <row r="193" spans="1:12">
      <c r="A193">
        <f>IF([[#This Row],Date]="","",ROW()-4)</f>
        <v>0</v>
      </c>
      <c r="K193">
        <f>IF([[#This Row],Date]="","",YEAR([[#This Row],Date]))</f>
        <v>0</v>
      </c>
      <c r="L193">
        <f>IF([[#This Row],Date]="","",TEXT([[#This Row],Date],"mmmm"))</f>
        <v>0</v>
      </c>
    </row>
    <row r="194" spans="1:12">
      <c r="A194">
        <f>IF([[#This Row],Date]="","",ROW()-4)</f>
        <v>0</v>
      </c>
      <c r="K194">
        <f>IF([[#This Row],Date]="","",YEAR([[#This Row],Date]))</f>
        <v>0</v>
      </c>
      <c r="L194">
        <f>IF([[#This Row],Date]="","",TEXT([[#This Row],Date],"mmmm"))</f>
        <v>0</v>
      </c>
    </row>
    <row r="195" spans="1:12">
      <c r="A195">
        <f>IF([[#This Row],Date]="","",ROW()-4)</f>
        <v>0</v>
      </c>
      <c r="K195">
        <f>IF([[#This Row],Date]="","",YEAR([[#This Row],Date]))</f>
        <v>0</v>
      </c>
      <c r="L195">
        <f>IF([[#This Row],Date]="","",TEXT([[#This Row],Date],"mmmm"))</f>
        <v>0</v>
      </c>
    </row>
    <row r="196" spans="1:12">
      <c r="A196">
        <f>IF([[#This Row],Date]="","",ROW()-4)</f>
        <v>0</v>
      </c>
      <c r="K196">
        <f>IF([[#This Row],Date]="","",YEAR([[#This Row],Date]))</f>
        <v>0</v>
      </c>
      <c r="L196">
        <f>IF([[#This Row],Date]="","",TEXT([[#This Row],Date],"mmmm"))</f>
        <v>0</v>
      </c>
    </row>
    <row r="197" spans="1:12">
      <c r="A197">
        <f>IF([[#This Row],Date]="","",ROW()-4)</f>
        <v>0</v>
      </c>
      <c r="K197">
        <f>IF([[#This Row],Date]="","",YEAR([[#This Row],Date]))</f>
        <v>0</v>
      </c>
      <c r="L197">
        <f>IF([[#This Row],Date]="","",TEXT([[#This Row],Date],"mmmm"))</f>
        <v>0</v>
      </c>
    </row>
    <row r="198" spans="1:12">
      <c r="A198">
        <f>IF([[#This Row],Date]="","",ROW()-4)</f>
        <v>0</v>
      </c>
      <c r="K198">
        <f>IF([[#This Row],Date]="","",YEAR([[#This Row],Date]))</f>
        <v>0</v>
      </c>
      <c r="L198">
        <f>IF([[#This Row],Date]="","",TEXT([[#This Row],Date],"mmmm"))</f>
        <v>0</v>
      </c>
    </row>
    <row r="199" spans="1:12">
      <c r="A199">
        <f>IF([[#This Row],Date]="","",ROW()-4)</f>
        <v>0</v>
      </c>
      <c r="K199">
        <f>IF([[#This Row],Date]="","",YEAR([[#This Row],Date]))</f>
        <v>0</v>
      </c>
      <c r="L199">
        <f>IF([[#This Row],Date]="","",TEXT([[#This Row],Date],"mmmm"))</f>
        <v>0</v>
      </c>
    </row>
    <row r="200" spans="1:12">
      <c r="A200">
        <f>IF([[#This Row],Date]="","",ROW()-4)</f>
        <v>0</v>
      </c>
      <c r="K200">
        <f>IF([[#This Row],Date]="","",YEAR([[#This Row],Date]))</f>
        <v>0</v>
      </c>
      <c r="L200">
        <f>IF([[#This Row],Date]="","",TEXT([[#This Row],Date],"mmmm"))</f>
        <v>0</v>
      </c>
    </row>
    <row r="201" spans="1:12">
      <c r="A201">
        <f>IF([[#This Row],Date]="","",ROW()-4)</f>
        <v>0</v>
      </c>
      <c r="K201">
        <f>IF([[#This Row],Date]="","",YEAR([[#This Row],Date]))</f>
        <v>0</v>
      </c>
      <c r="L201">
        <f>IF([[#This Row],Date]="","",TEXT([[#This Row],Date],"mmmm"))</f>
        <v>0</v>
      </c>
    </row>
    <row r="202" spans="1:12">
      <c r="A202">
        <f>IF([[#This Row],Date]="","",ROW()-4)</f>
        <v>0</v>
      </c>
      <c r="K202">
        <f>IF([[#This Row],Date]="","",YEAR([[#This Row],Date]))</f>
        <v>0</v>
      </c>
      <c r="L202">
        <f>IF([[#This Row],Date]="","",TEXT([[#This Row],Date],"mmmm"))</f>
        <v>0</v>
      </c>
    </row>
    <row r="203" spans="1:12">
      <c r="A203">
        <f>IF([[#This Row],Date]="","",ROW()-4)</f>
        <v>0</v>
      </c>
      <c r="K203">
        <f>IF([[#This Row],Date]="","",YEAR([[#This Row],Date]))</f>
        <v>0</v>
      </c>
      <c r="L203">
        <f>IF([[#This Row],Date]="","",TEXT([[#This Row],Date],"mmmm"))</f>
        <v>0</v>
      </c>
    </row>
    <row r="204" spans="1:12">
      <c r="A204">
        <f>IF([[#This Row],Date]="","",ROW()-4)</f>
        <v>0</v>
      </c>
      <c r="K204">
        <f>IF([[#This Row],Date]="","",YEAR([[#This Row],Date]))</f>
        <v>0</v>
      </c>
      <c r="L204">
        <f>IF([[#This Row],Date]="","",TEXT([[#This Row],Date],"mmmm"))</f>
        <v>0</v>
      </c>
    </row>
  </sheetData>
  <mergeCells count="1">
    <mergeCell ref="A1:L3"/>
  </mergeCells>
  <conditionalFormatting sqref="G5:G204">
    <cfRule type="cellIs" dxfId="3" priority="1" operator="greaterThanOrEqual">
      <formula>95</formula>
    </cfRule>
    <cfRule type="cellIs" dxfId="2" priority="2" operator="greaterThanOrEqual">
      <formula>85</formula>
    </cfRule>
    <cfRule type="cellIs" dxfId="0" priority="3" operator="lessThan">
      <formula>85</formula>
    </cfRule>
  </conditionalFormatting>
  <conditionalFormatting sqref="I5:I204">
    <cfRule type="containsText" dxfId="0" priority="4" operator="containsText" text="Overdue">
      <formula>NOT(ISERROR(SEARCH("Overdue",I5)))</formula>
    </cfRule>
    <cfRule type="containsText" dxfId="2" priority="5" operator="containsText" text="Open">
      <formula>NOT(ISERROR(SEARCH("Open",I5)))</formula>
    </cfRule>
    <cfRule type="containsText" dxfId="4" priority="6" operator="containsText" text="In Progress">
      <formula>NOT(ISERROR(SEARCH("In Progress",I5)))</formula>
    </cfRule>
    <cfRule type="containsText" dxfId="2" priority="7" operator="containsText" text="Pending">
      <formula>NOT(ISERROR(SEARCH("Pending",I5)))</formula>
    </cfRule>
    <cfRule type="containsText" dxfId="3" priority="8" operator="containsText" text="Closed">
      <formula>NOT(ISERROR(SEARCH("Closed",I5)))</formula>
    </cfRule>
    <cfRule type="containsText" dxfId="3" priority="9" operator="containsText" text="Done">
      <formula>NOT(ISERROR(SEARCH("Done",I5)))</formula>
    </cfRule>
    <cfRule type="containsText" dxfId="3" priority="10" operator="containsText" text="Complete">
      <formula>NOT(ISERROR(SEARCH("Complete",I5)))</formula>
    </cfRule>
    <cfRule type="containsText" dxfId="5" priority="11" operator="containsText" text="N/A">
      <formula>NOT(ISERROR(SEARCH("N/A",I5)))</formula>
    </cfRule>
  </conditionalFormatting>
  <dataValidations count="5">
    <dataValidation type="list" allowBlank="1" showInputMessage="1" showErrorMessage="1" sqref="C5:C204">
      <formula1>SETUP!$O$2:$O$9</formula1>
    </dataValidation>
    <dataValidation type="list" allowBlank="1" showInputMessage="1" showErrorMessage="1" sqref="D5:D204">
      <formula1>SETUP!$B$2:$B$9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I5:I204">
      <formula1>SETUP!$E$2:$E$6</formula1>
    </dataValidation>
    <dataValidation type="decimal" allowBlank="1" showInputMessage="1" showErrorMessage="1" error="Enter 0–100" sqref="G5:G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D4C8"/>
  </sheetPr>
  <dimension ref="A1:J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2.7109375" customWidth="1"/>
    <col min="3" max="3" width="16.7109375" customWidth="1"/>
    <col min="4" max="4" width="28.7109375" customWidth="1"/>
    <col min="5" max="5" width="16.7109375" customWidth="1"/>
    <col min="6" max="6" width="12.7109375" customWidth="1"/>
    <col min="7" max="7" width="14.7109375" customWidth="1"/>
    <col min="8" max="8" width="8.7109375" customWidth="1"/>
    <col min="9" max="9" width="14.7109375" customWidth="1"/>
    <col min="10" max="10" width="12.7109375" customWidth="1"/>
  </cols>
  <sheetData>
    <row r="1" spans="1:10" ht="20" customHeight="1">
      <c r="A1" s="11" t="s">
        <v>141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 ht="20" customHeight="1">
      <c r="A2" s="11"/>
      <c r="B2" s="11"/>
      <c r="C2" s="11"/>
      <c r="D2" s="11"/>
      <c r="E2" s="11"/>
      <c r="F2" s="11"/>
      <c r="G2" s="11"/>
      <c r="H2" s="11"/>
      <c r="I2" s="11"/>
      <c r="J2" s="11"/>
    </row>
    <row r="3" spans="1:10" ht="20" customHeight="1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24" customHeight="1">
      <c r="A4" t="s">
        <v>89</v>
      </c>
      <c r="B4" t="s">
        <v>142</v>
      </c>
      <c r="C4" t="s">
        <v>94</v>
      </c>
      <c r="D4" t="s">
        <v>143</v>
      </c>
      <c r="E4" t="s">
        <v>92</v>
      </c>
      <c r="F4" t="s">
        <v>144</v>
      </c>
      <c r="G4" t="s">
        <v>145</v>
      </c>
      <c r="H4" t="s">
        <v>123</v>
      </c>
      <c r="I4" t="s">
        <v>146</v>
      </c>
      <c r="J4" t="s">
        <v>147</v>
      </c>
    </row>
    <row r="5" spans="1:10" ht="22" customHeight="1">
      <c r="A5">
        <f>IF([[#This Row],Employee]="","",ROW()-4)</f>
        <v>0</v>
      </c>
      <c r="B5" s="5" t="s">
        <v>148</v>
      </c>
      <c r="C5" s="5" t="s">
        <v>9</v>
      </c>
      <c r="D5" s="5" t="s">
        <v>149</v>
      </c>
      <c r="E5" s="5" t="s">
        <v>46</v>
      </c>
      <c r="F5" s="4">
        <v>45322</v>
      </c>
      <c r="G5" s="4">
        <v>45316</v>
      </c>
      <c r="H5" s="9">
        <v>92</v>
      </c>
      <c r="I5">
        <f>IF([[#This Row],Employee]="","",IF([[#This Row],[Completion Date]]&lt;&gt;"","Complete",IF([[#This Row],[Due Date]]&lt;TODAY(),"Overdue","Pending")))</f>
        <v>0</v>
      </c>
      <c r="J5" s="5" t="s">
        <v>75</v>
      </c>
    </row>
    <row r="6" spans="1:10" ht="22" customHeight="1">
      <c r="A6">
        <f>IF([[#This Row],Employee]="","",ROW()-4)</f>
        <v>0</v>
      </c>
      <c r="B6" s="7" t="s">
        <v>150</v>
      </c>
      <c r="C6" s="7" t="s">
        <v>1</v>
      </c>
      <c r="D6" s="7" t="s">
        <v>151</v>
      </c>
      <c r="E6" s="7" t="s">
        <v>47</v>
      </c>
      <c r="F6" s="6">
        <v>45350</v>
      </c>
      <c r="G6" s="6">
        <v>45342</v>
      </c>
      <c r="H6" s="10">
        <v>88</v>
      </c>
      <c r="I6">
        <f>IF([[#This Row],Employee]="","",IF([[#This Row],[Completion Date]]&lt;&gt;"","Complete",IF([[#This Row],[Due Date]]&lt;TODAY(),"Overdue","Pending")))</f>
        <v>0</v>
      </c>
      <c r="J6" s="7" t="s">
        <v>75</v>
      </c>
    </row>
    <row r="7" spans="1:10" ht="22" customHeight="1">
      <c r="A7">
        <f>IF([[#This Row],Employee]="","",ROW()-4)</f>
        <v>0</v>
      </c>
      <c r="B7" s="5" t="s">
        <v>152</v>
      </c>
      <c r="C7" s="5" t="s">
        <v>2</v>
      </c>
      <c r="D7" s="5" t="s">
        <v>153</v>
      </c>
      <c r="E7" s="5" t="s">
        <v>49</v>
      </c>
      <c r="F7" s="4">
        <v>45366</v>
      </c>
      <c r="G7" s="4">
        <v>45361</v>
      </c>
      <c r="H7" s="9">
        <v>95</v>
      </c>
      <c r="I7">
        <f>IF([[#This Row],Employee]="","",IF([[#This Row],[Completion Date]]&lt;&gt;"","Complete",IF([[#This Row],[Due Date]]&lt;TODAY(),"Overdue","Pending")))</f>
        <v>0</v>
      </c>
      <c r="J7" s="5" t="s">
        <v>75</v>
      </c>
    </row>
    <row r="8" spans="1:10" ht="22" customHeight="1">
      <c r="A8">
        <f>IF([[#This Row],Employee]="","",ROW()-4)</f>
        <v>0</v>
      </c>
      <c r="B8" s="7" t="s">
        <v>154</v>
      </c>
      <c r="C8" s="7" t="s">
        <v>4</v>
      </c>
      <c r="D8" s="7" t="s">
        <v>82</v>
      </c>
      <c r="E8" s="7" t="s">
        <v>48</v>
      </c>
      <c r="F8" s="6">
        <v>45392</v>
      </c>
      <c r="I8">
        <f>IF([[#This Row],Employee]="","",IF([[#This Row],[Completion Date]]&lt;&gt;"","Complete",IF([[#This Row],[Due Date]]&lt;TODAY(),"Overdue","Pending")))</f>
        <v>0</v>
      </c>
      <c r="J8" s="7" t="s">
        <v>76</v>
      </c>
    </row>
    <row r="9" spans="1:10" ht="22" customHeight="1">
      <c r="A9">
        <f>IF([[#This Row],Employee]="","",ROW()-4)</f>
        <v>0</v>
      </c>
      <c r="B9" s="5" t="s">
        <v>155</v>
      </c>
      <c r="C9" s="5" t="s">
        <v>10</v>
      </c>
      <c r="D9" s="5" t="s">
        <v>156</v>
      </c>
      <c r="E9" s="5" t="s">
        <v>46</v>
      </c>
      <c r="F9" s="4">
        <v>45417</v>
      </c>
      <c r="I9">
        <f>IF([[#This Row],Employee]="","",IF([[#This Row],[Completion Date]]&lt;&gt;"","Complete",IF([[#This Row],[Due Date]]&lt;TODAY(),"Overdue","Pending")))</f>
        <v>0</v>
      </c>
      <c r="J9" s="5" t="s">
        <v>76</v>
      </c>
    </row>
    <row r="10" spans="1:10" ht="22" customHeight="1">
      <c r="A10">
        <f>IF([[#This Row],Employee]="","",ROW()-4)</f>
        <v>0</v>
      </c>
      <c r="B10" s="7" t="s">
        <v>157</v>
      </c>
      <c r="C10" s="7" t="s">
        <v>3</v>
      </c>
      <c r="D10" s="7" t="s">
        <v>158</v>
      </c>
      <c r="E10" s="7" t="s">
        <v>47</v>
      </c>
      <c r="F10" s="6">
        <v>45261</v>
      </c>
      <c r="I10">
        <f>IF([[#This Row],Employee]="","",IF([[#This Row],[Completion Date]]&lt;&gt;"","Complete",IF([[#This Row],[Due Date]]&lt;TODAY(),"Overdue","Pending")))</f>
        <v>0</v>
      </c>
      <c r="J10" s="7" t="s">
        <v>76</v>
      </c>
    </row>
    <row r="11" spans="1:10" ht="22" customHeight="1">
      <c r="A11">
        <f>IF([[#This Row],Employee]="","",ROW()-4)</f>
        <v>0</v>
      </c>
      <c r="B11" s="5" t="s">
        <v>159</v>
      </c>
      <c r="C11" s="5" t="s">
        <v>5</v>
      </c>
      <c r="D11" s="5" t="s">
        <v>160</v>
      </c>
      <c r="E11" s="5" t="s">
        <v>49</v>
      </c>
      <c r="F11" s="4">
        <v>45473</v>
      </c>
      <c r="G11" s="4">
        <v>45458</v>
      </c>
      <c r="H11" s="9">
        <v>90</v>
      </c>
      <c r="I11">
        <f>IF([[#This Row],Employee]="","",IF([[#This Row],[Completion Date]]&lt;&gt;"","Complete",IF([[#This Row],[Due Date]]&lt;TODAY(),"Overdue","Pending")))</f>
        <v>0</v>
      </c>
      <c r="J11" s="5" t="s">
        <v>75</v>
      </c>
    </row>
    <row r="12" spans="1:10">
      <c r="A12">
        <f>IF([[#This Row],Employee]="","",ROW()-4)</f>
        <v>0</v>
      </c>
      <c r="I12">
        <f>IF([[#This Row],Employee]="","",IF([[#This Row],[Completion Date]]&lt;&gt;"","Complete",IF([[#This Row],[Due Date]]&lt;TODAY(),"Overdue","Pending")))</f>
        <v>0</v>
      </c>
    </row>
    <row r="13" spans="1:10">
      <c r="A13">
        <f>IF([[#This Row],Employee]="","",ROW()-4)</f>
        <v>0</v>
      </c>
      <c r="I13">
        <f>IF([[#This Row],Employee]="","",IF([[#This Row],[Completion Date]]&lt;&gt;"","Complete",IF([[#This Row],[Due Date]]&lt;TODAY(),"Overdue","Pending")))</f>
        <v>0</v>
      </c>
    </row>
    <row r="14" spans="1:10">
      <c r="A14">
        <f>IF([[#This Row],Employee]="","",ROW()-4)</f>
        <v>0</v>
      </c>
      <c r="I14">
        <f>IF([[#This Row],Employee]="","",IF([[#This Row],[Completion Date]]&lt;&gt;"","Complete",IF([[#This Row],[Due Date]]&lt;TODAY(),"Overdue","Pending")))</f>
        <v>0</v>
      </c>
    </row>
    <row r="15" spans="1:10">
      <c r="A15">
        <f>IF([[#This Row],Employee]="","",ROW()-4)</f>
        <v>0</v>
      </c>
      <c r="I15">
        <f>IF([[#This Row],Employee]="","",IF([[#This Row],[Completion Date]]&lt;&gt;"","Complete",IF([[#This Row],[Due Date]]&lt;TODAY(),"Overdue","Pending")))</f>
        <v>0</v>
      </c>
    </row>
    <row r="16" spans="1:10">
      <c r="A16">
        <f>IF([[#This Row],Employee]="","",ROW()-4)</f>
        <v>0</v>
      </c>
      <c r="I16">
        <f>IF([[#This Row],Employee]="","",IF([[#This Row],[Completion Date]]&lt;&gt;"","Complete",IF([[#This Row],[Due Date]]&lt;TODAY(),"Overdue","Pending")))</f>
        <v>0</v>
      </c>
    </row>
    <row r="17" spans="1:9">
      <c r="A17">
        <f>IF([[#This Row],Employee]="","",ROW()-4)</f>
        <v>0</v>
      </c>
      <c r="I17">
        <f>IF([[#This Row],Employee]="","",IF([[#This Row],[Completion Date]]&lt;&gt;"","Complete",IF([[#This Row],[Due Date]]&lt;TODAY(),"Overdue","Pending")))</f>
        <v>0</v>
      </c>
    </row>
    <row r="18" spans="1:9">
      <c r="A18">
        <f>IF([[#This Row],Employee]="","",ROW()-4)</f>
        <v>0</v>
      </c>
      <c r="I18">
        <f>IF([[#This Row],Employee]="","",IF([[#This Row],[Completion Date]]&lt;&gt;"","Complete",IF([[#This Row],[Due Date]]&lt;TODAY(),"Overdue","Pending")))</f>
        <v>0</v>
      </c>
    </row>
    <row r="19" spans="1:9">
      <c r="A19">
        <f>IF([[#This Row],Employee]="","",ROW()-4)</f>
        <v>0</v>
      </c>
      <c r="I19">
        <f>IF([[#This Row],Employee]="","",IF([[#This Row],[Completion Date]]&lt;&gt;"","Complete",IF([[#This Row],[Due Date]]&lt;TODAY(),"Overdue","Pending")))</f>
        <v>0</v>
      </c>
    </row>
    <row r="20" spans="1:9">
      <c r="A20">
        <f>IF([[#This Row],Employee]="","",ROW()-4)</f>
        <v>0</v>
      </c>
      <c r="I20">
        <f>IF([[#This Row],Employee]="","",IF([[#This Row],[Completion Date]]&lt;&gt;"","Complete",IF([[#This Row],[Due Date]]&lt;TODAY(),"Overdue","Pending")))</f>
        <v>0</v>
      </c>
    </row>
    <row r="21" spans="1:9">
      <c r="A21">
        <f>IF([[#This Row],Employee]="","",ROW()-4)</f>
        <v>0</v>
      </c>
      <c r="I21">
        <f>IF([[#This Row],Employee]="","",IF([[#This Row],[Completion Date]]&lt;&gt;"","Complete",IF([[#This Row],[Due Date]]&lt;TODAY(),"Overdue","Pending")))</f>
        <v>0</v>
      </c>
    </row>
    <row r="22" spans="1:9">
      <c r="A22">
        <f>IF([[#This Row],Employee]="","",ROW()-4)</f>
        <v>0</v>
      </c>
      <c r="I22">
        <f>IF([[#This Row],Employee]="","",IF([[#This Row],[Completion Date]]&lt;&gt;"","Complete",IF([[#This Row],[Due Date]]&lt;TODAY(),"Overdue","Pending")))</f>
        <v>0</v>
      </c>
    </row>
    <row r="23" spans="1:9">
      <c r="A23">
        <f>IF([[#This Row],Employee]="","",ROW()-4)</f>
        <v>0</v>
      </c>
      <c r="I23">
        <f>IF([[#This Row],Employee]="","",IF([[#This Row],[Completion Date]]&lt;&gt;"","Complete",IF([[#This Row],[Due Date]]&lt;TODAY(),"Overdue","Pending")))</f>
        <v>0</v>
      </c>
    </row>
    <row r="24" spans="1:9">
      <c r="A24">
        <f>IF([[#This Row],Employee]="","",ROW()-4)</f>
        <v>0</v>
      </c>
      <c r="I24">
        <f>IF([[#This Row],Employee]="","",IF([[#This Row],[Completion Date]]&lt;&gt;"","Complete",IF([[#This Row],[Due Date]]&lt;TODAY(),"Overdue","Pending")))</f>
        <v>0</v>
      </c>
    </row>
    <row r="25" spans="1:9">
      <c r="A25">
        <f>IF([[#This Row],Employee]="","",ROW()-4)</f>
        <v>0</v>
      </c>
      <c r="I25">
        <f>IF([[#This Row],Employee]="","",IF([[#This Row],[Completion Date]]&lt;&gt;"","Complete",IF([[#This Row],[Due Date]]&lt;TODAY(),"Overdue","Pending")))</f>
        <v>0</v>
      </c>
    </row>
    <row r="26" spans="1:9">
      <c r="A26">
        <f>IF([[#This Row],Employee]="","",ROW()-4)</f>
        <v>0</v>
      </c>
      <c r="I26">
        <f>IF([[#This Row],Employee]="","",IF([[#This Row],[Completion Date]]&lt;&gt;"","Complete",IF([[#This Row],[Due Date]]&lt;TODAY(),"Overdue","Pending")))</f>
        <v>0</v>
      </c>
    </row>
    <row r="27" spans="1:9">
      <c r="A27">
        <f>IF([[#This Row],Employee]="","",ROW()-4)</f>
        <v>0</v>
      </c>
      <c r="I27">
        <f>IF([[#This Row],Employee]="","",IF([[#This Row],[Completion Date]]&lt;&gt;"","Complete",IF([[#This Row],[Due Date]]&lt;TODAY(),"Overdue","Pending")))</f>
        <v>0</v>
      </c>
    </row>
    <row r="28" spans="1:9">
      <c r="A28">
        <f>IF([[#This Row],Employee]="","",ROW()-4)</f>
        <v>0</v>
      </c>
      <c r="I28">
        <f>IF([[#This Row],Employee]="","",IF([[#This Row],[Completion Date]]&lt;&gt;"","Complete",IF([[#This Row],[Due Date]]&lt;TODAY(),"Overdue","Pending")))</f>
        <v>0</v>
      </c>
    </row>
    <row r="29" spans="1:9">
      <c r="A29">
        <f>IF([[#This Row],Employee]="","",ROW()-4)</f>
        <v>0</v>
      </c>
      <c r="I29">
        <f>IF([[#This Row],Employee]="","",IF([[#This Row],[Completion Date]]&lt;&gt;"","Complete",IF([[#This Row],[Due Date]]&lt;TODAY(),"Overdue","Pending")))</f>
        <v>0</v>
      </c>
    </row>
    <row r="30" spans="1:9">
      <c r="A30">
        <f>IF([[#This Row],Employee]="","",ROW()-4)</f>
        <v>0</v>
      </c>
      <c r="I30">
        <f>IF([[#This Row],Employee]="","",IF([[#This Row],[Completion Date]]&lt;&gt;"","Complete",IF([[#This Row],[Due Date]]&lt;TODAY(),"Overdue","Pending")))</f>
        <v>0</v>
      </c>
    </row>
    <row r="31" spans="1:9">
      <c r="A31">
        <f>IF([[#This Row],Employee]="","",ROW()-4)</f>
        <v>0</v>
      </c>
      <c r="I31">
        <f>IF([[#This Row],Employee]="","",IF([[#This Row],[Completion Date]]&lt;&gt;"","Complete",IF([[#This Row],[Due Date]]&lt;TODAY(),"Overdue","Pending")))</f>
        <v>0</v>
      </c>
    </row>
    <row r="32" spans="1:9">
      <c r="A32">
        <f>IF([[#This Row],Employee]="","",ROW()-4)</f>
        <v>0</v>
      </c>
      <c r="I32">
        <f>IF([[#This Row],Employee]="","",IF([[#This Row],[Completion Date]]&lt;&gt;"","Complete",IF([[#This Row],[Due Date]]&lt;TODAY(),"Overdue","Pending")))</f>
        <v>0</v>
      </c>
    </row>
    <row r="33" spans="1:9">
      <c r="A33">
        <f>IF([[#This Row],Employee]="","",ROW()-4)</f>
        <v>0</v>
      </c>
      <c r="I33">
        <f>IF([[#This Row],Employee]="","",IF([[#This Row],[Completion Date]]&lt;&gt;"","Complete",IF([[#This Row],[Due Date]]&lt;TODAY(),"Overdue","Pending")))</f>
        <v>0</v>
      </c>
    </row>
    <row r="34" spans="1:9">
      <c r="A34">
        <f>IF([[#This Row],Employee]="","",ROW()-4)</f>
        <v>0</v>
      </c>
      <c r="I34">
        <f>IF([[#This Row],Employee]="","",IF([[#This Row],[Completion Date]]&lt;&gt;"","Complete",IF([[#This Row],[Due Date]]&lt;TODAY(),"Overdue","Pending")))</f>
        <v>0</v>
      </c>
    </row>
    <row r="35" spans="1:9">
      <c r="A35">
        <f>IF([[#This Row],Employee]="","",ROW()-4)</f>
        <v>0</v>
      </c>
      <c r="I35">
        <f>IF([[#This Row],Employee]="","",IF([[#This Row],[Completion Date]]&lt;&gt;"","Complete",IF([[#This Row],[Due Date]]&lt;TODAY(),"Overdue","Pending")))</f>
        <v>0</v>
      </c>
    </row>
    <row r="36" spans="1:9">
      <c r="A36">
        <f>IF([[#This Row],Employee]="","",ROW()-4)</f>
        <v>0</v>
      </c>
      <c r="I36">
        <f>IF([[#This Row],Employee]="","",IF([[#This Row],[Completion Date]]&lt;&gt;"","Complete",IF([[#This Row],[Due Date]]&lt;TODAY(),"Overdue","Pending")))</f>
        <v>0</v>
      </c>
    </row>
    <row r="37" spans="1:9">
      <c r="A37">
        <f>IF([[#This Row],Employee]="","",ROW()-4)</f>
        <v>0</v>
      </c>
      <c r="I37">
        <f>IF([[#This Row],Employee]="","",IF([[#This Row],[Completion Date]]&lt;&gt;"","Complete",IF([[#This Row],[Due Date]]&lt;TODAY(),"Overdue","Pending")))</f>
        <v>0</v>
      </c>
    </row>
    <row r="38" spans="1:9">
      <c r="A38">
        <f>IF([[#This Row],Employee]="","",ROW()-4)</f>
        <v>0</v>
      </c>
      <c r="I38">
        <f>IF([[#This Row],Employee]="","",IF([[#This Row],[Completion Date]]&lt;&gt;"","Complete",IF([[#This Row],[Due Date]]&lt;TODAY(),"Overdue","Pending")))</f>
        <v>0</v>
      </c>
    </row>
    <row r="39" spans="1:9">
      <c r="A39">
        <f>IF([[#This Row],Employee]="","",ROW()-4)</f>
        <v>0</v>
      </c>
      <c r="I39">
        <f>IF([[#This Row],Employee]="","",IF([[#This Row],[Completion Date]]&lt;&gt;"","Complete",IF([[#This Row],[Due Date]]&lt;TODAY(),"Overdue","Pending")))</f>
        <v>0</v>
      </c>
    </row>
    <row r="40" spans="1:9">
      <c r="A40">
        <f>IF([[#This Row],Employee]="","",ROW()-4)</f>
        <v>0</v>
      </c>
      <c r="I40">
        <f>IF([[#This Row],Employee]="","",IF([[#This Row],[Completion Date]]&lt;&gt;"","Complete",IF([[#This Row],[Due Date]]&lt;TODAY(),"Overdue","Pending")))</f>
        <v>0</v>
      </c>
    </row>
    <row r="41" spans="1:9">
      <c r="A41">
        <f>IF([[#This Row],Employee]="","",ROW()-4)</f>
        <v>0</v>
      </c>
      <c r="I41">
        <f>IF([[#This Row],Employee]="","",IF([[#This Row],[Completion Date]]&lt;&gt;"","Complete",IF([[#This Row],[Due Date]]&lt;TODAY(),"Overdue","Pending")))</f>
        <v>0</v>
      </c>
    </row>
    <row r="42" spans="1:9">
      <c r="A42">
        <f>IF([[#This Row],Employee]="","",ROW()-4)</f>
        <v>0</v>
      </c>
      <c r="I42">
        <f>IF([[#This Row],Employee]="","",IF([[#This Row],[Completion Date]]&lt;&gt;"","Complete",IF([[#This Row],[Due Date]]&lt;TODAY(),"Overdue","Pending")))</f>
        <v>0</v>
      </c>
    </row>
    <row r="43" spans="1:9">
      <c r="A43">
        <f>IF([[#This Row],Employee]="","",ROW()-4)</f>
        <v>0</v>
      </c>
      <c r="I43">
        <f>IF([[#This Row],Employee]="","",IF([[#This Row],[Completion Date]]&lt;&gt;"","Complete",IF([[#This Row],[Due Date]]&lt;TODAY(),"Overdue","Pending")))</f>
        <v>0</v>
      </c>
    </row>
    <row r="44" spans="1:9">
      <c r="A44">
        <f>IF([[#This Row],Employee]="","",ROW()-4)</f>
        <v>0</v>
      </c>
      <c r="I44">
        <f>IF([[#This Row],Employee]="","",IF([[#This Row],[Completion Date]]&lt;&gt;"","Complete",IF([[#This Row],[Due Date]]&lt;TODAY(),"Overdue","Pending")))</f>
        <v>0</v>
      </c>
    </row>
    <row r="45" spans="1:9">
      <c r="A45">
        <f>IF([[#This Row],Employee]="","",ROW()-4)</f>
        <v>0</v>
      </c>
      <c r="I45">
        <f>IF([[#This Row],Employee]="","",IF([[#This Row],[Completion Date]]&lt;&gt;"","Complete",IF([[#This Row],[Due Date]]&lt;TODAY(),"Overdue","Pending")))</f>
        <v>0</v>
      </c>
    </row>
    <row r="46" spans="1:9">
      <c r="A46">
        <f>IF([[#This Row],Employee]="","",ROW()-4)</f>
        <v>0</v>
      </c>
      <c r="I46">
        <f>IF([[#This Row],Employee]="","",IF([[#This Row],[Completion Date]]&lt;&gt;"","Complete",IF([[#This Row],[Due Date]]&lt;TODAY(),"Overdue","Pending")))</f>
        <v>0</v>
      </c>
    </row>
    <row r="47" spans="1:9">
      <c r="A47">
        <f>IF([[#This Row],Employee]="","",ROW()-4)</f>
        <v>0</v>
      </c>
      <c r="I47">
        <f>IF([[#This Row],Employee]="","",IF([[#This Row],[Completion Date]]&lt;&gt;"","Complete",IF([[#This Row],[Due Date]]&lt;TODAY(),"Overdue","Pending")))</f>
        <v>0</v>
      </c>
    </row>
    <row r="48" spans="1:9">
      <c r="A48">
        <f>IF([[#This Row],Employee]="","",ROW()-4)</f>
        <v>0</v>
      </c>
      <c r="I48">
        <f>IF([[#This Row],Employee]="","",IF([[#This Row],[Completion Date]]&lt;&gt;"","Complete",IF([[#This Row],[Due Date]]&lt;TODAY(),"Overdue","Pending")))</f>
        <v>0</v>
      </c>
    </row>
    <row r="49" spans="1:9">
      <c r="A49">
        <f>IF([[#This Row],Employee]="","",ROW()-4)</f>
        <v>0</v>
      </c>
      <c r="I49">
        <f>IF([[#This Row],Employee]="","",IF([[#This Row],[Completion Date]]&lt;&gt;"","Complete",IF([[#This Row],[Due Date]]&lt;TODAY(),"Overdue","Pending")))</f>
        <v>0</v>
      </c>
    </row>
    <row r="50" spans="1:9">
      <c r="A50">
        <f>IF([[#This Row],Employee]="","",ROW()-4)</f>
        <v>0</v>
      </c>
      <c r="I50">
        <f>IF([[#This Row],Employee]="","",IF([[#This Row],[Completion Date]]&lt;&gt;"","Complete",IF([[#This Row],[Due Date]]&lt;TODAY(),"Overdue","Pending")))</f>
        <v>0</v>
      </c>
    </row>
    <row r="51" spans="1:9">
      <c r="A51">
        <f>IF([[#This Row],Employee]="","",ROW()-4)</f>
        <v>0</v>
      </c>
      <c r="I51">
        <f>IF([[#This Row],Employee]="","",IF([[#This Row],[Completion Date]]&lt;&gt;"","Complete",IF([[#This Row],[Due Date]]&lt;TODAY(),"Overdue","Pending")))</f>
        <v>0</v>
      </c>
    </row>
    <row r="52" spans="1:9">
      <c r="A52">
        <f>IF([[#This Row],Employee]="","",ROW()-4)</f>
        <v>0</v>
      </c>
      <c r="I52">
        <f>IF([[#This Row],Employee]="","",IF([[#This Row],[Completion Date]]&lt;&gt;"","Complete",IF([[#This Row],[Due Date]]&lt;TODAY(),"Overdue","Pending")))</f>
        <v>0</v>
      </c>
    </row>
    <row r="53" spans="1:9">
      <c r="A53">
        <f>IF([[#This Row],Employee]="","",ROW()-4)</f>
        <v>0</v>
      </c>
      <c r="I53">
        <f>IF([[#This Row],Employee]="","",IF([[#This Row],[Completion Date]]&lt;&gt;"","Complete",IF([[#This Row],[Due Date]]&lt;TODAY(),"Overdue","Pending")))</f>
        <v>0</v>
      </c>
    </row>
    <row r="54" spans="1:9">
      <c r="A54">
        <f>IF([[#This Row],Employee]="","",ROW()-4)</f>
        <v>0</v>
      </c>
      <c r="I54">
        <f>IF([[#This Row],Employee]="","",IF([[#This Row],[Completion Date]]&lt;&gt;"","Complete",IF([[#This Row],[Due Date]]&lt;TODAY(),"Overdue","Pending")))</f>
        <v>0</v>
      </c>
    </row>
    <row r="55" spans="1:9">
      <c r="A55">
        <f>IF([[#This Row],Employee]="","",ROW()-4)</f>
        <v>0</v>
      </c>
      <c r="I55">
        <f>IF([[#This Row],Employee]="","",IF([[#This Row],[Completion Date]]&lt;&gt;"","Complete",IF([[#This Row],[Due Date]]&lt;TODAY(),"Overdue","Pending")))</f>
        <v>0</v>
      </c>
    </row>
    <row r="56" spans="1:9">
      <c r="A56">
        <f>IF([[#This Row],Employee]="","",ROW()-4)</f>
        <v>0</v>
      </c>
      <c r="I56">
        <f>IF([[#This Row],Employee]="","",IF([[#This Row],[Completion Date]]&lt;&gt;"","Complete",IF([[#This Row],[Due Date]]&lt;TODAY(),"Overdue","Pending")))</f>
        <v>0</v>
      </c>
    </row>
    <row r="57" spans="1:9">
      <c r="A57">
        <f>IF([[#This Row],Employee]="","",ROW()-4)</f>
        <v>0</v>
      </c>
      <c r="I57">
        <f>IF([[#This Row],Employee]="","",IF([[#This Row],[Completion Date]]&lt;&gt;"","Complete",IF([[#This Row],[Due Date]]&lt;TODAY(),"Overdue","Pending")))</f>
        <v>0</v>
      </c>
    </row>
    <row r="58" spans="1:9">
      <c r="A58">
        <f>IF([[#This Row],Employee]="","",ROW()-4)</f>
        <v>0</v>
      </c>
      <c r="I58">
        <f>IF([[#This Row],Employee]="","",IF([[#This Row],[Completion Date]]&lt;&gt;"","Complete",IF([[#This Row],[Due Date]]&lt;TODAY(),"Overdue","Pending")))</f>
        <v>0</v>
      </c>
    </row>
    <row r="59" spans="1:9">
      <c r="A59">
        <f>IF([[#This Row],Employee]="","",ROW()-4)</f>
        <v>0</v>
      </c>
      <c r="I59">
        <f>IF([[#This Row],Employee]="","",IF([[#This Row],[Completion Date]]&lt;&gt;"","Complete",IF([[#This Row],[Due Date]]&lt;TODAY(),"Overdue","Pending")))</f>
        <v>0</v>
      </c>
    </row>
    <row r="60" spans="1:9">
      <c r="A60">
        <f>IF([[#This Row],Employee]="","",ROW()-4)</f>
        <v>0</v>
      </c>
      <c r="I60">
        <f>IF([[#This Row],Employee]="","",IF([[#This Row],[Completion Date]]&lt;&gt;"","Complete",IF([[#This Row],[Due Date]]&lt;TODAY(),"Overdue","Pending")))</f>
        <v>0</v>
      </c>
    </row>
    <row r="61" spans="1:9">
      <c r="A61">
        <f>IF([[#This Row],Employee]="","",ROW()-4)</f>
        <v>0</v>
      </c>
      <c r="I61">
        <f>IF([[#This Row],Employee]="","",IF([[#This Row],[Completion Date]]&lt;&gt;"","Complete",IF([[#This Row],[Due Date]]&lt;TODAY(),"Overdue","Pending")))</f>
        <v>0</v>
      </c>
    </row>
    <row r="62" spans="1:9">
      <c r="A62">
        <f>IF([[#This Row],Employee]="","",ROW()-4)</f>
        <v>0</v>
      </c>
      <c r="I62">
        <f>IF([[#This Row],Employee]="","",IF([[#This Row],[Completion Date]]&lt;&gt;"","Complete",IF([[#This Row],[Due Date]]&lt;TODAY(),"Overdue","Pending")))</f>
        <v>0</v>
      </c>
    </row>
    <row r="63" spans="1:9">
      <c r="A63">
        <f>IF([[#This Row],Employee]="","",ROW()-4)</f>
        <v>0</v>
      </c>
      <c r="I63">
        <f>IF([[#This Row],Employee]="","",IF([[#This Row],[Completion Date]]&lt;&gt;"","Complete",IF([[#This Row],[Due Date]]&lt;TODAY(),"Overdue","Pending")))</f>
        <v>0</v>
      </c>
    </row>
    <row r="64" spans="1:9">
      <c r="A64">
        <f>IF([[#This Row],Employee]="","",ROW()-4)</f>
        <v>0</v>
      </c>
      <c r="I64">
        <f>IF([[#This Row],Employee]="","",IF([[#This Row],[Completion Date]]&lt;&gt;"","Complete",IF([[#This Row],[Due Date]]&lt;TODAY(),"Overdue","Pending")))</f>
        <v>0</v>
      </c>
    </row>
    <row r="65" spans="1:9">
      <c r="A65">
        <f>IF([[#This Row],Employee]="","",ROW()-4)</f>
        <v>0</v>
      </c>
      <c r="I65">
        <f>IF([[#This Row],Employee]="","",IF([[#This Row],[Completion Date]]&lt;&gt;"","Complete",IF([[#This Row],[Due Date]]&lt;TODAY(),"Overdue","Pending")))</f>
        <v>0</v>
      </c>
    </row>
    <row r="66" spans="1:9">
      <c r="A66">
        <f>IF([[#This Row],Employee]="","",ROW()-4)</f>
        <v>0</v>
      </c>
      <c r="I66">
        <f>IF([[#This Row],Employee]="","",IF([[#This Row],[Completion Date]]&lt;&gt;"","Complete",IF([[#This Row],[Due Date]]&lt;TODAY(),"Overdue","Pending")))</f>
        <v>0</v>
      </c>
    </row>
    <row r="67" spans="1:9">
      <c r="A67">
        <f>IF([[#This Row],Employee]="","",ROW()-4)</f>
        <v>0</v>
      </c>
      <c r="I67">
        <f>IF([[#This Row],Employee]="","",IF([[#This Row],[Completion Date]]&lt;&gt;"","Complete",IF([[#This Row],[Due Date]]&lt;TODAY(),"Overdue","Pending")))</f>
        <v>0</v>
      </c>
    </row>
    <row r="68" spans="1:9">
      <c r="A68">
        <f>IF([[#This Row],Employee]="","",ROW()-4)</f>
        <v>0</v>
      </c>
      <c r="I68">
        <f>IF([[#This Row],Employee]="","",IF([[#This Row],[Completion Date]]&lt;&gt;"","Complete",IF([[#This Row],[Due Date]]&lt;TODAY(),"Overdue","Pending")))</f>
        <v>0</v>
      </c>
    </row>
    <row r="69" spans="1:9">
      <c r="A69">
        <f>IF([[#This Row],Employee]="","",ROW()-4)</f>
        <v>0</v>
      </c>
      <c r="I69">
        <f>IF([[#This Row],Employee]="","",IF([[#This Row],[Completion Date]]&lt;&gt;"","Complete",IF([[#This Row],[Due Date]]&lt;TODAY(),"Overdue","Pending")))</f>
        <v>0</v>
      </c>
    </row>
    <row r="70" spans="1:9">
      <c r="A70">
        <f>IF([[#This Row],Employee]="","",ROW()-4)</f>
        <v>0</v>
      </c>
      <c r="I70">
        <f>IF([[#This Row],Employee]="","",IF([[#This Row],[Completion Date]]&lt;&gt;"","Complete",IF([[#This Row],[Due Date]]&lt;TODAY(),"Overdue","Pending")))</f>
        <v>0</v>
      </c>
    </row>
    <row r="71" spans="1:9">
      <c r="A71">
        <f>IF([[#This Row],Employee]="","",ROW()-4)</f>
        <v>0</v>
      </c>
      <c r="I71">
        <f>IF([[#This Row],Employee]="","",IF([[#This Row],[Completion Date]]&lt;&gt;"","Complete",IF([[#This Row],[Due Date]]&lt;TODAY(),"Overdue","Pending")))</f>
        <v>0</v>
      </c>
    </row>
    <row r="72" spans="1:9">
      <c r="A72">
        <f>IF([[#This Row],Employee]="","",ROW()-4)</f>
        <v>0</v>
      </c>
      <c r="I72">
        <f>IF([[#This Row],Employee]="","",IF([[#This Row],[Completion Date]]&lt;&gt;"","Complete",IF([[#This Row],[Due Date]]&lt;TODAY(),"Overdue","Pending")))</f>
        <v>0</v>
      </c>
    </row>
    <row r="73" spans="1:9">
      <c r="A73">
        <f>IF([[#This Row],Employee]="","",ROW()-4)</f>
        <v>0</v>
      </c>
      <c r="I73">
        <f>IF([[#This Row],Employee]="","",IF([[#This Row],[Completion Date]]&lt;&gt;"","Complete",IF([[#This Row],[Due Date]]&lt;TODAY(),"Overdue","Pending")))</f>
        <v>0</v>
      </c>
    </row>
    <row r="74" spans="1:9">
      <c r="A74">
        <f>IF([[#This Row],Employee]="","",ROW()-4)</f>
        <v>0</v>
      </c>
      <c r="I74">
        <f>IF([[#This Row],Employee]="","",IF([[#This Row],[Completion Date]]&lt;&gt;"","Complete",IF([[#This Row],[Due Date]]&lt;TODAY(),"Overdue","Pending")))</f>
        <v>0</v>
      </c>
    </row>
    <row r="75" spans="1:9">
      <c r="A75">
        <f>IF([[#This Row],Employee]="","",ROW()-4)</f>
        <v>0</v>
      </c>
      <c r="I75">
        <f>IF([[#This Row],Employee]="","",IF([[#This Row],[Completion Date]]&lt;&gt;"","Complete",IF([[#This Row],[Due Date]]&lt;TODAY(),"Overdue","Pending")))</f>
        <v>0</v>
      </c>
    </row>
    <row r="76" spans="1:9">
      <c r="A76">
        <f>IF([[#This Row],Employee]="","",ROW()-4)</f>
        <v>0</v>
      </c>
      <c r="I76">
        <f>IF([[#This Row],Employee]="","",IF([[#This Row],[Completion Date]]&lt;&gt;"","Complete",IF([[#This Row],[Due Date]]&lt;TODAY(),"Overdue","Pending")))</f>
        <v>0</v>
      </c>
    </row>
    <row r="77" spans="1:9">
      <c r="A77">
        <f>IF([[#This Row],Employee]="","",ROW()-4)</f>
        <v>0</v>
      </c>
      <c r="I77">
        <f>IF([[#This Row],Employee]="","",IF([[#This Row],[Completion Date]]&lt;&gt;"","Complete",IF([[#This Row],[Due Date]]&lt;TODAY(),"Overdue","Pending")))</f>
        <v>0</v>
      </c>
    </row>
    <row r="78" spans="1:9">
      <c r="A78">
        <f>IF([[#This Row],Employee]="","",ROW()-4)</f>
        <v>0</v>
      </c>
      <c r="I78">
        <f>IF([[#This Row],Employee]="","",IF([[#This Row],[Completion Date]]&lt;&gt;"","Complete",IF([[#This Row],[Due Date]]&lt;TODAY(),"Overdue","Pending")))</f>
        <v>0</v>
      </c>
    </row>
    <row r="79" spans="1:9">
      <c r="A79">
        <f>IF([[#This Row],Employee]="","",ROW()-4)</f>
        <v>0</v>
      </c>
      <c r="I79">
        <f>IF([[#This Row],Employee]="","",IF([[#This Row],[Completion Date]]&lt;&gt;"","Complete",IF([[#This Row],[Due Date]]&lt;TODAY(),"Overdue","Pending")))</f>
        <v>0</v>
      </c>
    </row>
    <row r="80" spans="1:9">
      <c r="A80">
        <f>IF([[#This Row],Employee]="","",ROW()-4)</f>
        <v>0</v>
      </c>
      <c r="I80">
        <f>IF([[#This Row],Employee]="","",IF([[#This Row],[Completion Date]]&lt;&gt;"","Complete",IF([[#This Row],[Due Date]]&lt;TODAY(),"Overdue","Pending")))</f>
        <v>0</v>
      </c>
    </row>
    <row r="81" spans="1:9">
      <c r="A81">
        <f>IF([[#This Row],Employee]="","",ROW()-4)</f>
        <v>0</v>
      </c>
      <c r="I81">
        <f>IF([[#This Row],Employee]="","",IF([[#This Row],[Completion Date]]&lt;&gt;"","Complete",IF([[#This Row],[Due Date]]&lt;TODAY(),"Overdue","Pending")))</f>
        <v>0</v>
      </c>
    </row>
    <row r="82" spans="1:9">
      <c r="A82">
        <f>IF([[#This Row],Employee]="","",ROW()-4)</f>
        <v>0</v>
      </c>
      <c r="I82">
        <f>IF([[#This Row],Employee]="","",IF([[#This Row],[Completion Date]]&lt;&gt;"","Complete",IF([[#This Row],[Due Date]]&lt;TODAY(),"Overdue","Pending")))</f>
        <v>0</v>
      </c>
    </row>
    <row r="83" spans="1:9">
      <c r="A83">
        <f>IF([[#This Row],Employee]="","",ROW()-4)</f>
        <v>0</v>
      </c>
      <c r="I83">
        <f>IF([[#This Row],Employee]="","",IF([[#This Row],[Completion Date]]&lt;&gt;"","Complete",IF([[#This Row],[Due Date]]&lt;TODAY(),"Overdue","Pending")))</f>
        <v>0</v>
      </c>
    </row>
    <row r="84" spans="1:9">
      <c r="A84">
        <f>IF([[#This Row],Employee]="","",ROW()-4)</f>
        <v>0</v>
      </c>
      <c r="I84">
        <f>IF([[#This Row],Employee]="","",IF([[#This Row],[Completion Date]]&lt;&gt;"","Complete",IF([[#This Row],[Due Date]]&lt;TODAY(),"Overdue","Pending")))</f>
        <v>0</v>
      </c>
    </row>
    <row r="85" spans="1:9">
      <c r="A85">
        <f>IF([[#This Row],Employee]="","",ROW()-4)</f>
        <v>0</v>
      </c>
      <c r="I85">
        <f>IF([[#This Row],Employee]="","",IF([[#This Row],[Completion Date]]&lt;&gt;"","Complete",IF([[#This Row],[Due Date]]&lt;TODAY(),"Overdue","Pending")))</f>
        <v>0</v>
      </c>
    </row>
    <row r="86" spans="1:9">
      <c r="A86">
        <f>IF([[#This Row],Employee]="","",ROW()-4)</f>
        <v>0</v>
      </c>
      <c r="I86">
        <f>IF([[#This Row],Employee]="","",IF([[#This Row],[Completion Date]]&lt;&gt;"","Complete",IF([[#This Row],[Due Date]]&lt;TODAY(),"Overdue","Pending")))</f>
        <v>0</v>
      </c>
    </row>
    <row r="87" spans="1:9">
      <c r="A87">
        <f>IF([[#This Row],Employee]="","",ROW()-4)</f>
        <v>0</v>
      </c>
      <c r="I87">
        <f>IF([[#This Row],Employee]="","",IF([[#This Row],[Completion Date]]&lt;&gt;"","Complete",IF([[#This Row],[Due Date]]&lt;TODAY(),"Overdue","Pending")))</f>
        <v>0</v>
      </c>
    </row>
    <row r="88" spans="1:9">
      <c r="A88">
        <f>IF([[#This Row],Employee]="","",ROW()-4)</f>
        <v>0</v>
      </c>
      <c r="I88">
        <f>IF([[#This Row],Employee]="","",IF([[#This Row],[Completion Date]]&lt;&gt;"","Complete",IF([[#This Row],[Due Date]]&lt;TODAY(),"Overdue","Pending")))</f>
        <v>0</v>
      </c>
    </row>
    <row r="89" spans="1:9">
      <c r="A89">
        <f>IF([[#This Row],Employee]="","",ROW()-4)</f>
        <v>0</v>
      </c>
      <c r="I89">
        <f>IF([[#This Row],Employee]="","",IF([[#This Row],[Completion Date]]&lt;&gt;"","Complete",IF([[#This Row],[Due Date]]&lt;TODAY(),"Overdue","Pending")))</f>
        <v>0</v>
      </c>
    </row>
    <row r="90" spans="1:9">
      <c r="A90">
        <f>IF([[#This Row],Employee]="","",ROW()-4)</f>
        <v>0</v>
      </c>
      <c r="I90">
        <f>IF([[#This Row],Employee]="","",IF([[#This Row],[Completion Date]]&lt;&gt;"","Complete",IF([[#This Row],[Due Date]]&lt;TODAY(),"Overdue","Pending")))</f>
        <v>0</v>
      </c>
    </row>
    <row r="91" spans="1:9">
      <c r="A91">
        <f>IF([[#This Row],Employee]="","",ROW()-4)</f>
        <v>0</v>
      </c>
      <c r="I91">
        <f>IF([[#This Row],Employee]="","",IF([[#This Row],[Completion Date]]&lt;&gt;"","Complete",IF([[#This Row],[Due Date]]&lt;TODAY(),"Overdue","Pending")))</f>
        <v>0</v>
      </c>
    </row>
    <row r="92" spans="1:9">
      <c r="A92">
        <f>IF([[#This Row],Employee]="","",ROW()-4)</f>
        <v>0</v>
      </c>
      <c r="I92">
        <f>IF([[#This Row],Employee]="","",IF([[#This Row],[Completion Date]]&lt;&gt;"","Complete",IF([[#This Row],[Due Date]]&lt;TODAY(),"Overdue","Pending")))</f>
        <v>0</v>
      </c>
    </row>
    <row r="93" spans="1:9">
      <c r="A93">
        <f>IF([[#This Row],Employee]="","",ROW()-4)</f>
        <v>0</v>
      </c>
      <c r="I93">
        <f>IF([[#This Row],Employee]="","",IF([[#This Row],[Completion Date]]&lt;&gt;"","Complete",IF([[#This Row],[Due Date]]&lt;TODAY(),"Overdue","Pending")))</f>
        <v>0</v>
      </c>
    </row>
    <row r="94" spans="1:9">
      <c r="A94">
        <f>IF([[#This Row],Employee]="","",ROW()-4)</f>
        <v>0</v>
      </c>
      <c r="I94">
        <f>IF([[#This Row],Employee]="","",IF([[#This Row],[Completion Date]]&lt;&gt;"","Complete",IF([[#This Row],[Due Date]]&lt;TODAY(),"Overdue","Pending")))</f>
        <v>0</v>
      </c>
    </row>
    <row r="95" spans="1:9">
      <c r="A95">
        <f>IF([[#This Row],Employee]="","",ROW()-4)</f>
        <v>0</v>
      </c>
      <c r="I95">
        <f>IF([[#This Row],Employee]="","",IF([[#This Row],[Completion Date]]&lt;&gt;"","Complete",IF([[#This Row],[Due Date]]&lt;TODAY(),"Overdue","Pending")))</f>
        <v>0</v>
      </c>
    </row>
    <row r="96" spans="1:9">
      <c r="A96">
        <f>IF([[#This Row],Employee]="","",ROW()-4)</f>
        <v>0</v>
      </c>
      <c r="I96">
        <f>IF([[#This Row],Employee]="","",IF([[#This Row],[Completion Date]]&lt;&gt;"","Complete",IF([[#This Row],[Due Date]]&lt;TODAY(),"Overdue","Pending")))</f>
        <v>0</v>
      </c>
    </row>
    <row r="97" spans="1:9">
      <c r="A97">
        <f>IF([[#This Row],Employee]="","",ROW()-4)</f>
        <v>0</v>
      </c>
      <c r="I97">
        <f>IF([[#This Row],Employee]="","",IF([[#This Row],[Completion Date]]&lt;&gt;"","Complete",IF([[#This Row],[Due Date]]&lt;TODAY(),"Overdue","Pending")))</f>
        <v>0</v>
      </c>
    </row>
    <row r="98" spans="1:9">
      <c r="A98">
        <f>IF([[#This Row],Employee]="","",ROW()-4)</f>
        <v>0</v>
      </c>
      <c r="I98">
        <f>IF([[#This Row],Employee]="","",IF([[#This Row],[Completion Date]]&lt;&gt;"","Complete",IF([[#This Row],[Due Date]]&lt;TODAY(),"Overdue","Pending")))</f>
        <v>0</v>
      </c>
    </row>
    <row r="99" spans="1:9">
      <c r="A99">
        <f>IF([[#This Row],Employee]="","",ROW()-4)</f>
        <v>0</v>
      </c>
      <c r="I99">
        <f>IF([[#This Row],Employee]="","",IF([[#This Row],[Completion Date]]&lt;&gt;"","Complete",IF([[#This Row],[Due Date]]&lt;TODAY(),"Overdue","Pending")))</f>
        <v>0</v>
      </c>
    </row>
    <row r="100" spans="1:9">
      <c r="A100">
        <f>IF([[#This Row],Employee]="","",ROW()-4)</f>
        <v>0</v>
      </c>
      <c r="I100">
        <f>IF([[#This Row],Employee]="","",IF([[#This Row],[Completion Date]]&lt;&gt;"","Complete",IF([[#This Row],[Due Date]]&lt;TODAY(),"Overdue","Pending")))</f>
        <v>0</v>
      </c>
    </row>
    <row r="101" spans="1:9">
      <c r="A101">
        <f>IF([[#This Row],Employee]="","",ROW()-4)</f>
        <v>0</v>
      </c>
      <c r="I101">
        <f>IF([[#This Row],Employee]="","",IF([[#This Row],[Completion Date]]&lt;&gt;"","Complete",IF([[#This Row],[Due Date]]&lt;TODAY(),"Overdue","Pending")))</f>
        <v>0</v>
      </c>
    </row>
    <row r="102" spans="1:9">
      <c r="A102">
        <f>IF([[#This Row],Employee]="","",ROW()-4)</f>
        <v>0</v>
      </c>
      <c r="I102">
        <f>IF([[#This Row],Employee]="","",IF([[#This Row],[Completion Date]]&lt;&gt;"","Complete",IF([[#This Row],[Due Date]]&lt;TODAY(),"Overdue","Pending")))</f>
        <v>0</v>
      </c>
    </row>
    <row r="103" spans="1:9">
      <c r="A103">
        <f>IF([[#This Row],Employee]="","",ROW()-4)</f>
        <v>0</v>
      </c>
      <c r="I103">
        <f>IF([[#This Row],Employee]="","",IF([[#This Row],[Completion Date]]&lt;&gt;"","Complete",IF([[#This Row],[Due Date]]&lt;TODAY(),"Overdue","Pending")))</f>
        <v>0</v>
      </c>
    </row>
    <row r="104" spans="1:9">
      <c r="A104">
        <f>IF([[#This Row],Employee]="","",ROW()-4)</f>
        <v>0</v>
      </c>
      <c r="I104">
        <f>IF([[#This Row],Employee]="","",IF([[#This Row],[Completion Date]]&lt;&gt;"","Complete",IF([[#This Row],[Due Date]]&lt;TODAY(),"Overdue","Pending")))</f>
        <v>0</v>
      </c>
    </row>
    <row r="105" spans="1:9">
      <c r="A105">
        <f>IF([[#This Row],Employee]="","",ROW()-4)</f>
        <v>0</v>
      </c>
      <c r="I105">
        <f>IF([[#This Row],Employee]="","",IF([[#This Row],[Completion Date]]&lt;&gt;"","Complete",IF([[#This Row],[Due Date]]&lt;TODAY(),"Overdue","Pending")))</f>
        <v>0</v>
      </c>
    </row>
    <row r="106" spans="1:9">
      <c r="A106">
        <f>IF([[#This Row],Employee]="","",ROW()-4)</f>
        <v>0</v>
      </c>
      <c r="I106">
        <f>IF([[#This Row],Employee]="","",IF([[#This Row],[Completion Date]]&lt;&gt;"","Complete",IF([[#This Row],[Due Date]]&lt;TODAY(),"Overdue","Pending")))</f>
        <v>0</v>
      </c>
    </row>
    <row r="107" spans="1:9">
      <c r="A107">
        <f>IF([[#This Row],Employee]="","",ROW()-4)</f>
        <v>0</v>
      </c>
      <c r="I107">
        <f>IF([[#This Row],Employee]="","",IF([[#This Row],[Completion Date]]&lt;&gt;"","Complete",IF([[#This Row],[Due Date]]&lt;TODAY(),"Overdue","Pending")))</f>
        <v>0</v>
      </c>
    </row>
    <row r="108" spans="1:9">
      <c r="A108">
        <f>IF([[#This Row],Employee]="","",ROW()-4)</f>
        <v>0</v>
      </c>
      <c r="I108">
        <f>IF([[#This Row],Employee]="","",IF([[#This Row],[Completion Date]]&lt;&gt;"","Complete",IF([[#This Row],[Due Date]]&lt;TODAY(),"Overdue","Pending")))</f>
        <v>0</v>
      </c>
    </row>
    <row r="109" spans="1:9">
      <c r="A109">
        <f>IF([[#This Row],Employee]="","",ROW()-4)</f>
        <v>0</v>
      </c>
      <c r="I109">
        <f>IF([[#This Row],Employee]="","",IF([[#This Row],[Completion Date]]&lt;&gt;"","Complete",IF([[#This Row],[Due Date]]&lt;TODAY(),"Overdue","Pending")))</f>
        <v>0</v>
      </c>
    </row>
    <row r="110" spans="1:9">
      <c r="A110">
        <f>IF([[#This Row],Employee]="","",ROW()-4)</f>
        <v>0</v>
      </c>
      <c r="I110">
        <f>IF([[#This Row],Employee]="","",IF([[#This Row],[Completion Date]]&lt;&gt;"","Complete",IF([[#This Row],[Due Date]]&lt;TODAY(),"Overdue","Pending")))</f>
        <v>0</v>
      </c>
    </row>
    <row r="111" spans="1:9">
      <c r="A111">
        <f>IF([[#This Row],Employee]="","",ROW()-4)</f>
        <v>0</v>
      </c>
      <c r="I111">
        <f>IF([[#This Row],Employee]="","",IF([[#This Row],[Completion Date]]&lt;&gt;"","Complete",IF([[#This Row],[Due Date]]&lt;TODAY(),"Overdue","Pending")))</f>
        <v>0</v>
      </c>
    </row>
    <row r="112" spans="1:9">
      <c r="A112">
        <f>IF([[#This Row],Employee]="","",ROW()-4)</f>
        <v>0</v>
      </c>
      <c r="I112">
        <f>IF([[#This Row],Employee]="","",IF([[#This Row],[Completion Date]]&lt;&gt;"","Complete",IF([[#This Row],[Due Date]]&lt;TODAY(),"Overdue","Pending")))</f>
        <v>0</v>
      </c>
    </row>
    <row r="113" spans="1:9">
      <c r="A113">
        <f>IF([[#This Row],Employee]="","",ROW()-4)</f>
        <v>0</v>
      </c>
      <c r="I113">
        <f>IF([[#This Row],Employee]="","",IF([[#This Row],[Completion Date]]&lt;&gt;"","Complete",IF([[#This Row],[Due Date]]&lt;TODAY(),"Overdue","Pending")))</f>
        <v>0</v>
      </c>
    </row>
    <row r="114" spans="1:9">
      <c r="A114">
        <f>IF([[#This Row],Employee]="","",ROW()-4)</f>
        <v>0</v>
      </c>
      <c r="I114">
        <f>IF([[#This Row],Employee]="","",IF([[#This Row],[Completion Date]]&lt;&gt;"","Complete",IF([[#This Row],[Due Date]]&lt;TODAY(),"Overdue","Pending")))</f>
        <v>0</v>
      </c>
    </row>
    <row r="115" spans="1:9">
      <c r="A115">
        <f>IF([[#This Row],Employee]="","",ROW()-4)</f>
        <v>0</v>
      </c>
      <c r="I115">
        <f>IF([[#This Row],Employee]="","",IF([[#This Row],[Completion Date]]&lt;&gt;"","Complete",IF([[#This Row],[Due Date]]&lt;TODAY(),"Overdue","Pending")))</f>
        <v>0</v>
      </c>
    </row>
    <row r="116" spans="1:9">
      <c r="A116">
        <f>IF([[#This Row],Employee]="","",ROW()-4)</f>
        <v>0</v>
      </c>
      <c r="I116">
        <f>IF([[#This Row],Employee]="","",IF([[#This Row],[Completion Date]]&lt;&gt;"","Complete",IF([[#This Row],[Due Date]]&lt;TODAY(),"Overdue","Pending")))</f>
        <v>0</v>
      </c>
    </row>
    <row r="117" spans="1:9">
      <c r="A117">
        <f>IF([[#This Row],Employee]="","",ROW()-4)</f>
        <v>0</v>
      </c>
      <c r="I117">
        <f>IF([[#This Row],Employee]="","",IF([[#This Row],[Completion Date]]&lt;&gt;"","Complete",IF([[#This Row],[Due Date]]&lt;TODAY(),"Overdue","Pending")))</f>
        <v>0</v>
      </c>
    </row>
    <row r="118" spans="1:9">
      <c r="A118">
        <f>IF([[#This Row],Employee]="","",ROW()-4)</f>
        <v>0</v>
      </c>
      <c r="I118">
        <f>IF([[#This Row],Employee]="","",IF([[#This Row],[Completion Date]]&lt;&gt;"","Complete",IF([[#This Row],[Due Date]]&lt;TODAY(),"Overdue","Pending")))</f>
        <v>0</v>
      </c>
    </row>
    <row r="119" spans="1:9">
      <c r="A119">
        <f>IF([[#This Row],Employee]="","",ROW()-4)</f>
        <v>0</v>
      </c>
      <c r="I119">
        <f>IF([[#This Row],Employee]="","",IF([[#This Row],[Completion Date]]&lt;&gt;"","Complete",IF([[#This Row],[Due Date]]&lt;TODAY(),"Overdue","Pending")))</f>
        <v>0</v>
      </c>
    </row>
    <row r="120" spans="1:9">
      <c r="A120">
        <f>IF([[#This Row],Employee]="","",ROW()-4)</f>
        <v>0</v>
      </c>
      <c r="I120">
        <f>IF([[#This Row],Employee]="","",IF([[#This Row],[Completion Date]]&lt;&gt;"","Complete",IF([[#This Row],[Due Date]]&lt;TODAY(),"Overdue","Pending")))</f>
        <v>0</v>
      </c>
    </row>
    <row r="121" spans="1:9">
      <c r="A121">
        <f>IF([[#This Row],Employee]="","",ROW()-4)</f>
        <v>0</v>
      </c>
      <c r="I121">
        <f>IF([[#This Row],Employee]="","",IF([[#This Row],[Completion Date]]&lt;&gt;"","Complete",IF([[#This Row],[Due Date]]&lt;TODAY(),"Overdue","Pending")))</f>
        <v>0</v>
      </c>
    </row>
    <row r="122" spans="1:9">
      <c r="A122">
        <f>IF([[#This Row],Employee]="","",ROW()-4)</f>
        <v>0</v>
      </c>
      <c r="I122">
        <f>IF([[#This Row],Employee]="","",IF([[#This Row],[Completion Date]]&lt;&gt;"","Complete",IF([[#This Row],[Due Date]]&lt;TODAY(),"Overdue","Pending")))</f>
        <v>0</v>
      </c>
    </row>
    <row r="123" spans="1:9">
      <c r="A123">
        <f>IF([[#This Row],Employee]="","",ROW()-4)</f>
        <v>0</v>
      </c>
      <c r="I123">
        <f>IF([[#This Row],Employee]="","",IF([[#This Row],[Completion Date]]&lt;&gt;"","Complete",IF([[#This Row],[Due Date]]&lt;TODAY(),"Overdue","Pending")))</f>
        <v>0</v>
      </c>
    </row>
    <row r="124" spans="1:9">
      <c r="A124">
        <f>IF([[#This Row],Employee]="","",ROW()-4)</f>
        <v>0</v>
      </c>
      <c r="I124">
        <f>IF([[#This Row],Employee]="","",IF([[#This Row],[Completion Date]]&lt;&gt;"","Complete",IF([[#This Row],[Due Date]]&lt;TODAY(),"Overdue","Pending")))</f>
        <v>0</v>
      </c>
    </row>
    <row r="125" spans="1:9">
      <c r="A125">
        <f>IF([[#This Row],Employee]="","",ROW()-4)</f>
        <v>0</v>
      </c>
      <c r="I125">
        <f>IF([[#This Row],Employee]="","",IF([[#This Row],[Completion Date]]&lt;&gt;"","Complete",IF([[#This Row],[Due Date]]&lt;TODAY(),"Overdue","Pending")))</f>
        <v>0</v>
      </c>
    </row>
    <row r="126" spans="1:9">
      <c r="A126">
        <f>IF([[#This Row],Employee]="","",ROW()-4)</f>
        <v>0</v>
      </c>
      <c r="I126">
        <f>IF([[#This Row],Employee]="","",IF([[#This Row],[Completion Date]]&lt;&gt;"","Complete",IF([[#This Row],[Due Date]]&lt;TODAY(),"Overdue","Pending")))</f>
        <v>0</v>
      </c>
    </row>
    <row r="127" spans="1:9">
      <c r="A127">
        <f>IF([[#This Row],Employee]="","",ROW()-4)</f>
        <v>0</v>
      </c>
      <c r="I127">
        <f>IF([[#This Row],Employee]="","",IF([[#This Row],[Completion Date]]&lt;&gt;"","Complete",IF([[#This Row],[Due Date]]&lt;TODAY(),"Overdue","Pending")))</f>
        <v>0</v>
      </c>
    </row>
    <row r="128" spans="1:9">
      <c r="A128">
        <f>IF([[#This Row],Employee]="","",ROW()-4)</f>
        <v>0</v>
      </c>
      <c r="I128">
        <f>IF([[#This Row],Employee]="","",IF([[#This Row],[Completion Date]]&lt;&gt;"","Complete",IF([[#This Row],[Due Date]]&lt;TODAY(),"Overdue","Pending")))</f>
        <v>0</v>
      </c>
    </row>
    <row r="129" spans="1:9">
      <c r="A129">
        <f>IF([[#This Row],Employee]="","",ROW()-4)</f>
        <v>0</v>
      </c>
      <c r="I129">
        <f>IF([[#This Row],Employee]="","",IF([[#This Row],[Completion Date]]&lt;&gt;"","Complete",IF([[#This Row],[Due Date]]&lt;TODAY(),"Overdue","Pending")))</f>
        <v>0</v>
      </c>
    </row>
    <row r="130" spans="1:9">
      <c r="A130">
        <f>IF([[#This Row],Employee]="","",ROW()-4)</f>
        <v>0</v>
      </c>
      <c r="I130">
        <f>IF([[#This Row],Employee]="","",IF([[#This Row],[Completion Date]]&lt;&gt;"","Complete",IF([[#This Row],[Due Date]]&lt;TODAY(),"Overdue","Pending")))</f>
        <v>0</v>
      </c>
    </row>
    <row r="131" spans="1:9">
      <c r="A131">
        <f>IF([[#This Row],Employee]="","",ROW()-4)</f>
        <v>0</v>
      </c>
      <c r="I131">
        <f>IF([[#This Row],Employee]="","",IF([[#This Row],[Completion Date]]&lt;&gt;"","Complete",IF([[#This Row],[Due Date]]&lt;TODAY(),"Overdue","Pending")))</f>
        <v>0</v>
      </c>
    </row>
    <row r="132" spans="1:9">
      <c r="A132">
        <f>IF([[#This Row],Employee]="","",ROW()-4)</f>
        <v>0</v>
      </c>
      <c r="I132">
        <f>IF([[#This Row],Employee]="","",IF([[#This Row],[Completion Date]]&lt;&gt;"","Complete",IF([[#This Row],[Due Date]]&lt;TODAY(),"Overdue","Pending")))</f>
        <v>0</v>
      </c>
    </row>
    <row r="133" spans="1:9">
      <c r="A133">
        <f>IF([[#This Row],Employee]="","",ROW()-4)</f>
        <v>0</v>
      </c>
      <c r="I133">
        <f>IF([[#This Row],Employee]="","",IF([[#This Row],[Completion Date]]&lt;&gt;"","Complete",IF([[#This Row],[Due Date]]&lt;TODAY(),"Overdue","Pending")))</f>
        <v>0</v>
      </c>
    </row>
    <row r="134" spans="1:9">
      <c r="A134">
        <f>IF([[#This Row],Employee]="","",ROW()-4)</f>
        <v>0</v>
      </c>
      <c r="I134">
        <f>IF([[#This Row],Employee]="","",IF([[#This Row],[Completion Date]]&lt;&gt;"","Complete",IF([[#This Row],[Due Date]]&lt;TODAY(),"Overdue","Pending")))</f>
        <v>0</v>
      </c>
    </row>
    <row r="135" spans="1:9">
      <c r="A135">
        <f>IF([[#This Row],Employee]="","",ROW()-4)</f>
        <v>0</v>
      </c>
      <c r="I135">
        <f>IF([[#This Row],Employee]="","",IF([[#This Row],[Completion Date]]&lt;&gt;"","Complete",IF([[#This Row],[Due Date]]&lt;TODAY(),"Overdue","Pending")))</f>
        <v>0</v>
      </c>
    </row>
    <row r="136" spans="1:9">
      <c r="A136">
        <f>IF([[#This Row],Employee]="","",ROW()-4)</f>
        <v>0</v>
      </c>
      <c r="I136">
        <f>IF([[#This Row],Employee]="","",IF([[#This Row],[Completion Date]]&lt;&gt;"","Complete",IF([[#This Row],[Due Date]]&lt;TODAY(),"Overdue","Pending")))</f>
        <v>0</v>
      </c>
    </row>
    <row r="137" spans="1:9">
      <c r="A137">
        <f>IF([[#This Row],Employee]="","",ROW()-4)</f>
        <v>0</v>
      </c>
      <c r="I137">
        <f>IF([[#This Row],Employee]="","",IF([[#This Row],[Completion Date]]&lt;&gt;"","Complete",IF([[#This Row],[Due Date]]&lt;TODAY(),"Overdue","Pending")))</f>
        <v>0</v>
      </c>
    </row>
    <row r="138" spans="1:9">
      <c r="A138">
        <f>IF([[#This Row],Employee]="","",ROW()-4)</f>
        <v>0</v>
      </c>
      <c r="I138">
        <f>IF([[#This Row],Employee]="","",IF([[#This Row],[Completion Date]]&lt;&gt;"","Complete",IF([[#This Row],[Due Date]]&lt;TODAY(),"Overdue","Pending")))</f>
        <v>0</v>
      </c>
    </row>
    <row r="139" spans="1:9">
      <c r="A139">
        <f>IF([[#This Row],Employee]="","",ROW()-4)</f>
        <v>0</v>
      </c>
      <c r="I139">
        <f>IF([[#This Row],Employee]="","",IF([[#This Row],[Completion Date]]&lt;&gt;"","Complete",IF([[#This Row],[Due Date]]&lt;TODAY(),"Overdue","Pending")))</f>
        <v>0</v>
      </c>
    </row>
    <row r="140" spans="1:9">
      <c r="A140">
        <f>IF([[#This Row],Employee]="","",ROW()-4)</f>
        <v>0</v>
      </c>
      <c r="I140">
        <f>IF([[#This Row],Employee]="","",IF([[#This Row],[Completion Date]]&lt;&gt;"","Complete",IF([[#This Row],[Due Date]]&lt;TODAY(),"Overdue","Pending")))</f>
        <v>0</v>
      </c>
    </row>
    <row r="141" spans="1:9">
      <c r="A141">
        <f>IF([[#This Row],Employee]="","",ROW()-4)</f>
        <v>0</v>
      </c>
      <c r="I141">
        <f>IF([[#This Row],Employee]="","",IF([[#This Row],[Completion Date]]&lt;&gt;"","Complete",IF([[#This Row],[Due Date]]&lt;TODAY(),"Overdue","Pending")))</f>
        <v>0</v>
      </c>
    </row>
    <row r="142" spans="1:9">
      <c r="A142">
        <f>IF([[#This Row],Employee]="","",ROW()-4)</f>
        <v>0</v>
      </c>
      <c r="I142">
        <f>IF([[#This Row],Employee]="","",IF([[#This Row],[Completion Date]]&lt;&gt;"","Complete",IF([[#This Row],[Due Date]]&lt;TODAY(),"Overdue","Pending")))</f>
        <v>0</v>
      </c>
    </row>
    <row r="143" spans="1:9">
      <c r="A143">
        <f>IF([[#This Row],Employee]="","",ROW()-4)</f>
        <v>0</v>
      </c>
      <c r="I143">
        <f>IF([[#This Row],Employee]="","",IF([[#This Row],[Completion Date]]&lt;&gt;"","Complete",IF([[#This Row],[Due Date]]&lt;TODAY(),"Overdue","Pending")))</f>
        <v>0</v>
      </c>
    </row>
    <row r="144" spans="1:9">
      <c r="A144">
        <f>IF([[#This Row],Employee]="","",ROW()-4)</f>
        <v>0</v>
      </c>
      <c r="I144">
        <f>IF([[#This Row],Employee]="","",IF([[#This Row],[Completion Date]]&lt;&gt;"","Complete",IF([[#This Row],[Due Date]]&lt;TODAY(),"Overdue","Pending")))</f>
        <v>0</v>
      </c>
    </row>
    <row r="145" spans="1:9">
      <c r="A145">
        <f>IF([[#This Row],Employee]="","",ROW()-4)</f>
        <v>0</v>
      </c>
      <c r="I145">
        <f>IF([[#This Row],Employee]="","",IF([[#This Row],[Completion Date]]&lt;&gt;"","Complete",IF([[#This Row],[Due Date]]&lt;TODAY(),"Overdue","Pending")))</f>
        <v>0</v>
      </c>
    </row>
    <row r="146" spans="1:9">
      <c r="A146">
        <f>IF([[#This Row],Employee]="","",ROW()-4)</f>
        <v>0</v>
      </c>
      <c r="I146">
        <f>IF([[#This Row],Employee]="","",IF([[#This Row],[Completion Date]]&lt;&gt;"","Complete",IF([[#This Row],[Due Date]]&lt;TODAY(),"Overdue","Pending")))</f>
        <v>0</v>
      </c>
    </row>
    <row r="147" spans="1:9">
      <c r="A147">
        <f>IF([[#This Row],Employee]="","",ROW()-4)</f>
        <v>0</v>
      </c>
      <c r="I147">
        <f>IF([[#This Row],Employee]="","",IF([[#This Row],[Completion Date]]&lt;&gt;"","Complete",IF([[#This Row],[Due Date]]&lt;TODAY(),"Overdue","Pending")))</f>
        <v>0</v>
      </c>
    </row>
    <row r="148" spans="1:9">
      <c r="A148">
        <f>IF([[#This Row],Employee]="","",ROW()-4)</f>
        <v>0</v>
      </c>
      <c r="I148">
        <f>IF([[#This Row],Employee]="","",IF([[#This Row],[Completion Date]]&lt;&gt;"","Complete",IF([[#This Row],[Due Date]]&lt;TODAY(),"Overdue","Pending")))</f>
        <v>0</v>
      </c>
    </row>
    <row r="149" spans="1:9">
      <c r="A149">
        <f>IF([[#This Row],Employee]="","",ROW()-4)</f>
        <v>0</v>
      </c>
      <c r="I149">
        <f>IF([[#This Row],Employee]="","",IF([[#This Row],[Completion Date]]&lt;&gt;"","Complete",IF([[#This Row],[Due Date]]&lt;TODAY(),"Overdue","Pending")))</f>
        <v>0</v>
      </c>
    </row>
    <row r="150" spans="1:9">
      <c r="A150">
        <f>IF([[#This Row],Employee]="","",ROW()-4)</f>
        <v>0</v>
      </c>
      <c r="I150">
        <f>IF([[#This Row],Employee]="","",IF([[#This Row],[Completion Date]]&lt;&gt;"","Complete",IF([[#This Row],[Due Date]]&lt;TODAY(),"Overdue","Pending")))</f>
        <v>0</v>
      </c>
    </row>
    <row r="151" spans="1:9">
      <c r="A151">
        <f>IF([[#This Row],Employee]="","",ROW()-4)</f>
        <v>0</v>
      </c>
      <c r="I151">
        <f>IF([[#This Row],Employee]="","",IF([[#This Row],[Completion Date]]&lt;&gt;"","Complete",IF([[#This Row],[Due Date]]&lt;TODAY(),"Overdue","Pending")))</f>
        <v>0</v>
      </c>
    </row>
    <row r="152" spans="1:9">
      <c r="A152">
        <f>IF([[#This Row],Employee]="","",ROW()-4)</f>
        <v>0</v>
      </c>
      <c r="I152">
        <f>IF([[#This Row],Employee]="","",IF([[#This Row],[Completion Date]]&lt;&gt;"","Complete",IF([[#This Row],[Due Date]]&lt;TODAY(),"Overdue","Pending")))</f>
        <v>0</v>
      </c>
    </row>
    <row r="153" spans="1:9">
      <c r="A153">
        <f>IF([[#This Row],Employee]="","",ROW()-4)</f>
        <v>0</v>
      </c>
      <c r="I153">
        <f>IF([[#This Row],Employee]="","",IF([[#This Row],[Completion Date]]&lt;&gt;"","Complete",IF([[#This Row],[Due Date]]&lt;TODAY(),"Overdue","Pending")))</f>
        <v>0</v>
      </c>
    </row>
    <row r="154" spans="1:9">
      <c r="A154">
        <f>IF([[#This Row],Employee]="","",ROW()-4)</f>
        <v>0</v>
      </c>
      <c r="I154">
        <f>IF([[#This Row],Employee]="","",IF([[#This Row],[Completion Date]]&lt;&gt;"","Complete",IF([[#This Row],[Due Date]]&lt;TODAY(),"Overdue","Pending")))</f>
        <v>0</v>
      </c>
    </row>
    <row r="155" spans="1:9">
      <c r="A155">
        <f>IF([[#This Row],Employee]="","",ROW()-4)</f>
        <v>0</v>
      </c>
      <c r="I155">
        <f>IF([[#This Row],Employee]="","",IF([[#This Row],[Completion Date]]&lt;&gt;"","Complete",IF([[#This Row],[Due Date]]&lt;TODAY(),"Overdue","Pending")))</f>
        <v>0</v>
      </c>
    </row>
    <row r="156" spans="1:9">
      <c r="A156">
        <f>IF([[#This Row],Employee]="","",ROW()-4)</f>
        <v>0</v>
      </c>
      <c r="I156">
        <f>IF([[#This Row],Employee]="","",IF([[#This Row],[Completion Date]]&lt;&gt;"","Complete",IF([[#This Row],[Due Date]]&lt;TODAY(),"Overdue","Pending")))</f>
        <v>0</v>
      </c>
    </row>
    <row r="157" spans="1:9">
      <c r="A157">
        <f>IF([[#This Row],Employee]="","",ROW()-4)</f>
        <v>0</v>
      </c>
      <c r="I157">
        <f>IF([[#This Row],Employee]="","",IF([[#This Row],[Completion Date]]&lt;&gt;"","Complete",IF([[#This Row],[Due Date]]&lt;TODAY(),"Overdue","Pending")))</f>
        <v>0</v>
      </c>
    </row>
    <row r="158" spans="1:9">
      <c r="A158">
        <f>IF([[#This Row],Employee]="","",ROW()-4)</f>
        <v>0</v>
      </c>
      <c r="I158">
        <f>IF([[#This Row],Employee]="","",IF([[#This Row],[Completion Date]]&lt;&gt;"","Complete",IF([[#This Row],[Due Date]]&lt;TODAY(),"Overdue","Pending")))</f>
        <v>0</v>
      </c>
    </row>
    <row r="159" spans="1:9">
      <c r="A159">
        <f>IF([[#This Row],Employee]="","",ROW()-4)</f>
        <v>0</v>
      </c>
      <c r="I159">
        <f>IF([[#This Row],Employee]="","",IF([[#This Row],[Completion Date]]&lt;&gt;"","Complete",IF([[#This Row],[Due Date]]&lt;TODAY(),"Overdue","Pending")))</f>
        <v>0</v>
      </c>
    </row>
    <row r="160" spans="1:9">
      <c r="A160">
        <f>IF([[#This Row],Employee]="","",ROW()-4)</f>
        <v>0</v>
      </c>
      <c r="I160">
        <f>IF([[#This Row],Employee]="","",IF([[#This Row],[Completion Date]]&lt;&gt;"","Complete",IF([[#This Row],[Due Date]]&lt;TODAY(),"Overdue","Pending")))</f>
        <v>0</v>
      </c>
    </row>
    <row r="161" spans="1:9">
      <c r="A161">
        <f>IF([[#This Row],Employee]="","",ROW()-4)</f>
        <v>0</v>
      </c>
      <c r="I161">
        <f>IF([[#This Row],Employee]="","",IF([[#This Row],[Completion Date]]&lt;&gt;"","Complete",IF([[#This Row],[Due Date]]&lt;TODAY(),"Overdue","Pending")))</f>
        <v>0</v>
      </c>
    </row>
    <row r="162" spans="1:9">
      <c r="A162">
        <f>IF([[#This Row],Employee]="","",ROW()-4)</f>
        <v>0</v>
      </c>
      <c r="I162">
        <f>IF([[#This Row],Employee]="","",IF([[#This Row],[Completion Date]]&lt;&gt;"","Complete",IF([[#This Row],[Due Date]]&lt;TODAY(),"Overdue","Pending")))</f>
        <v>0</v>
      </c>
    </row>
    <row r="163" spans="1:9">
      <c r="A163">
        <f>IF([[#This Row],Employee]="","",ROW()-4)</f>
        <v>0</v>
      </c>
      <c r="I163">
        <f>IF([[#This Row],Employee]="","",IF([[#This Row],[Completion Date]]&lt;&gt;"","Complete",IF([[#This Row],[Due Date]]&lt;TODAY(),"Overdue","Pending")))</f>
        <v>0</v>
      </c>
    </row>
    <row r="164" spans="1:9">
      <c r="A164">
        <f>IF([[#This Row],Employee]="","",ROW()-4)</f>
        <v>0</v>
      </c>
      <c r="I164">
        <f>IF([[#This Row],Employee]="","",IF([[#This Row],[Completion Date]]&lt;&gt;"","Complete",IF([[#This Row],[Due Date]]&lt;TODAY(),"Overdue","Pending")))</f>
        <v>0</v>
      </c>
    </row>
    <row r="165" spans="1:9">
      <c r="A165">
        <f>IF([[#This Row],Employee]="","",ROW()-4)</f>
        <v>0</v>
      </c>
      <c r="I165">
        <f>IF([[#This Row],Employee]="","",IF([[#This Row],[Completion Date]]&lt;&gt;"","Complete",IF([[#This Row],[Due Date]]&lt;TODAY(),"Overdue","Pending")))</f>
        <v>0</v>
      </c>
    </row>
    <row r="166" spans="1:9">
      <c r="A166">
        <f>IF([[#This Row],Employee]="","",ROW()-4)</f>
        <v>0</v>
      </c>
      <c r="I166">
        <f>IF([[#This Row],Employee]="","",IF([[#This Row],[Completion Date]]&lt;&gt;"","Complete",IF([[#This Row],[Due Date]]&lt;TODAY(),"Overdue","Pending")))</f>
        <v>0</v>
      </c>
    </row>
    <row r="167" spans="1:9">
      <c r="A167">
        <f>IF([[#This Row],Employee]="","",ROW()-4)</f>
        <v>0</v>
      </c>
      <c r="I167">
        <f>IF([[#This Row],Employee]="","",IF([[#This Row],[Completion Date]]&lt;&gt;"","Complete",IF([[#This Row],[Due Date]]&lt;TODAY(),"Overdue","Pending")))</f>
        <v>0</v>
      </c>
    </row>
    <row r="168" spans="1:9">
      <c r="A168">
        <f>IF([[#This Row],Employee]="","",ROW()-4)</f>
        <v>0</v>
      </c>
      <c r="I168">
        <f>IF([[#This Row],Employee]="","",IF([[#This Row],[Completion Date]]&lt;&gt;"","Complete",IF([[#This Row],[Due Date]]&lt;TODAY(),"Overdue","Pending")))</f>
        <v>0</v>
      </c>
    </row>
    <row r="169" spans="1:9">
      <c r="A169">
        <f>IF([[#This Row],Employee]="","",ROW()-4)</f>
        <v>0</v>
      </c>
      <c r="I169">
        <f>IF([[#This Row],Employee]="","",IF([[#This Row],[Completion Date]]&lt;&gt;"","Complete",IF([[#This Row],[Due Date]]&lt;TODAY(),"Overdue","Pending")))</f>
        <v>0</v>
      </c>
    </row>
    <row r="170" spans="1:9">
      <c r="A170">
        <f>IF([[#This Row],Employee]="","",ROW()-4)</f>
        <v>0</v>
      </c>
      <c r="I170">
        <f>IF([[#This Row],Employee]="","",IF([[#This Row],[Completion Date]]&lt;&gt;"","Complete",IF([[#This Row],[Due Date]]&lt;TODAY(),"Overdue","Pending")))</f>
        <v>0</v>
      </c>
    </row>
    <row r="171" spans="1:9">
      <c r="A171">
        <f>IF([[#This Row],Employee]="","",ROW()-4)</f>
        <v>0</v>
      </c>
      <c r="I171">
        <f>IF([[#This Row],Employee]="","",IF([[#This Row],[Completion Date]]&lt;&gt;"","Complete",IF([[#This Row],[Due Date]]&lt;TODAY(),"Overdue","Pending")))</f>
        <v>0</v>
      </c>
    </row>
    <row r="172" spans="1:9">
      <c r="A172">
        <f>IF([[#This Row],Employee]="","",ROW()-4)</f>
        <v>0</v>
      </c>
      <c r="I172">
        <f>IF([[#This Row],Employee]="","",IF([[#This Row],[Completion Date]]&lt;&gt;"","Complete",IF([[#This Row],[Due Date]]&lt;TODAY(),"Overdue","Pending")))</f>
        <v>0</v>
      </c>
    </row>
    <row r="173" spans="1:9">
      <c r="A173">
        <f>IF([[#This Row],Employee]="","",ROW()-4)</f>
        <v>0</v>
      </c>
      <c r="I173">
        <f>IF([[#This Row],Employee]="","",IF([[#This Row],[Completion Date]]&lt;&gt;"","Complete",IF([[#This Row],[Due Date]]&lt;TODAY(),"Overdue","Pending")))</f>
        <v>0</v>
      </c>
    </row>
    <row r="174" spans="1:9">
      <c r="A174">
        <f>IF([[#This Row],Employee]="","",ROW()-4)</f>
        <v>0</v>
      </c>
      <c r="I174">
        <f>IF([[#This Row],Employee]="","",IF([[#This Row],[Completion Date]]&lt;&gt;"","Complete",IF([[#This Row],[Due Date]]&lt;TODAY(),"Overdue","Pending")))</f>
        <v>0</v>
      </c>
    </row>
    <row r="175" spans="1:9">
      <c r="A175">
        <f>IF([[#This Row],Employee]="","",ROW()-4)</f>
        <v>0</v>
      </c>
      <c r="I175">
        <f>IF([[#This Row],Employee]="","",IF([[#This Row],[Completion Date]]&lt;&gt;"","Complete",IF([[#This Row],[Due Date]]&lt;TODAY(),"Overdue","Pending")))</f>
        <v>0</v>
      </c>
    </row>
    <row r="176" spans="1:9">
      <c r="A176">
        <f>IF([[#This Row],Employee]="","",ROW()-4)</f>
        <v>0</v>
      </c>
      <c r="I176">
        <f>IF([[#This Row],Employee]="","",IF([[#This Row],[Completion Date]]&lt;&gt;"","Complete",IF([[#This Row],[Due Date]]&lt;TODAY(),"Overdue","Pending")))</f>
        <v>0</v>
      </c>
    </row>
    <row r="177" spans="1:9">
      <c r="A177">
        <f>IF([[#This Row],Employee]="","",ROW()-4)</f>
        <v>0</v>
      </c>
      <c r="I177">
        <f>IF([[#This Row],Employee]="","",IF([[#This Row],[Completion Date]]&lt;&gt;"","Complete",IF([[#This Row],[Due Date]]&lt;TODAY(),"Overdue","Pending")))</f>
        <v>0</v>
      </c>
    </row>
    <row r="178" spans="1:9">
      <c r="A178">
        <f>IF([[#This Row],Employee]="","",ROW()-4)</f>
        <v>0</v>
      </c>
      <c r="I178">
        <f>IF([[#This Row],Employee]="","",IF([[#This Row],[Completion Date]]&lt;&gt;"","Complete",IF([[#This Row],[Due Date]]&lt;TODAY(),"Overdue","Pending")))</f>
        <v>0</v>
      </c>
    </row>
    <row r="179" spans="1:9">
      <c r="A179">
        <f>IF([[#This Row],Employee]="","",ROW()-4)</f>
        <v>0</v>
      </c>
      <c r="I179">
        <f>IF([[#This Row],Employee]="","",IF([[#This Row],[Completion Date]]&lt;&gt;"","Complete",IF([[#This Row],[Due Date]]&lt;TODAY(),"Overdue","Pending")))</f>
        <v>0</v>
      </c>
    </row>
    <row r="180" spans="1:9">
      <c r="A180">
        <f>IF([[#This Row],Employee]="","",ROW()-4)</f>
        <v>0</v>
      </c>
      <c r="I180">
        <f>IF([[#This Row],Employee]="","",IF([[#This Row],[Completion Date]]&lt;&gt;"","Complete",IF([[#This Row],[Due Date]]&lt;TODAY(),"Overdue","Pending")))</f>
        <v>0</v>
      </c>
    </row>
    <row r="181" spans="1:9">
      <c r="A181">
        <f>IF([[#This Row],Employee]="","",ROW()-4)</f>
        <v>0</v>
      </c>
      <c r="I181">
        <f>IF([[#This Row],Employee]="","",IF([[#This Row],[Completion Date]]&lt;&gt;"","Complete",IF([[#This Row],[Due Date]]&lt;TODAY(),"Overdue","Pending")))</f>
        <v>0</v>
      </c>
    </row>
    <row r="182" spans="1:9">
      <c r="A182">
        <f>IF([[#This Row],Employee]="","",ROW()-4)</f>
        <v>0</v>
      </c>
      <c r="I182">
        <f>IF([[#This Row],Employee]="","",IF([[#This Row],[Completion Date]]&lt;&gt;"","Complete",IF([[#This Row],[Due Date]]&lt;TODAY(),"Overdue","Pending")))</f>
        <v>0</v>
      </c>
    </row>
    <row r="183" spans="1:9">
      <c r="A183">
        <f>IF([[#This Row],Employee]="","",ROW()-4)</f>
        <v>0</v>
      </c>
      <c r="I183">
        <f>IF([[#This Row],Employee]="","",IF([[#This Row],[Completion Date]]&lt;&gt;"","Complete",IF([[#This Row],[Due Date]]&lt;TODAY(),"Overdue","Pending")))</f>
        <v>0</v>
      </c>
    </row>
    <row r="184" spans="1:9">
      <c r="A184">
        <f>IF([[#This Row],Employee]="","",ROW()-4)</f>
        <v>0</v>
      </c>
      <c r="I184">
        <f>IF([[#This Row],Employee]="","",IF([[#This Row],[Completion Date]]&lt;&gt;"","Complete",IF([[#This Row],[Due Date]]&lt;TODAY(),"Overdue","Pending")))</f>
        <v>0</v>
      </c>
    </row>
    <row r="185" spans="1:9">
      <c r="A185">
        <f>IF([[#This Row],Employee]="","",ROW()-4)</f>
        <v>0</v>
      </c>
      <c r="I185">
        <f>IF([[#This Row],Employee]="","",IF([[#This Row],[Completion Date]]&lt;&gt;"","Complete",IF([[#This Row],[Due Date]]&lt;TODAY(),"Overdue","Pending")))</f>
        <v>0</v>
      </c>
    </row>
    <row r="186" spans="1:9">
      <c r="A186">
        <f>IF([[#This Row],Employee]="","",ROW()-4)</f>
        <v>0</v>
      </c>
      <c r="I186">
        <f>IF([[#This Row],Employee]="","",IF([[#This Row],[Completion Date]]&lt;&gt;"","Complete",IF([[#This Row],[Due Date]]&lt;TODAY(),"Overdue","Pending")))</f>
        <v>0</v>
      </c>
    </row>
    <row r="187" spans="1:9">
      <c r="A187">
        <f>IF([[#This Row],Employee]="","",ROW()-4)</f>
        <v>0</v>
      </c>
      <c r="I187">
        <f>IF([[#This Row],Employee]="","",IF([[#This Row],[Completion Date]]&lt;&gt;"","Complete",IF([[#This Row],[Due Date]]&lt;TODAY(),"Overdue","Pending")))</f>
        <v>0</v>
      </c>
    </row>
    <row r="188" spans="1:9">
      <c r="A188">
        <f>IF([[#This Row],Employee]="","",ROW()-4)</f>
        <v>0</v>
      </c>
      <c r="I188">
        <f>IF([[#This Row],Employee]="","",IF([[#This Row],[Completion Date]]&lt;&gt;"","Complete",IF([[#This Row],[Due Date]]&lt;TODAY(),"Overdue","Pending")))</f>
        <v>0</v>
      </c>
    </row>
    <row r="189" spans="1:9">
      <c r="A189">
        <f>IF([[#This Row],Employee]="","",ROW()-4)</f>
        <v>0</v>
      </c>
      <c r="I189">
        <f>IF([[#This Row],Employee]="","",IF([[#This Row],[Completion Date]]&lt;&gt;"","Complete",IF([[#This Row],[Due Date]]&lt;TODAY(),"Overdue","Pending")))</f>
        <v>0</v>
      </c>
    </row>
    <row r="190" spans="1:9">
      <c r="A190">
        <f>IF([[#This Row],Employee]="","",ROW()-4)</f>
        <v>0</v>
      </c>
      <c r="I190">
        <f>IF([[#This Row],Employee]="","",IF([[#This Row],[Completion Date]]&lt;&gt;"","Complete",IF([[#This Row],[Due Date]]&lt;TODAY(),"Overdue","Pending")))</f>
        <v>0</v>
      </c>
    </row>
    <row r="191" spans="1:9">
      <c r="A191">
        <f>IF([[#This Row],Employee]="","",ROW()-4)</f>
        <v>0</v>
      </c>
      <c r="I191">
        <f>IF([[#This Row],Employee]="","",IF([[#This Row],[Completion Date]]&lt;&gt;"","Complete",IF([[#This Row],[Due Date]]&lt;TODAY(),"Overdue","Pending")))</f>
        <v>0</v>
      </c>
    </row>
    <row r="192" spans="1:9">
      <c r="A192">
        <f>IF([[#This Row],Employee]="","",ROW()-4)</f>
        <v>0</v>
      </c>
      <c r="I192">
        <f>IF([[#This Row],Employee]="","",IF([[#This Row],[Completion Date]]&lt;&gt;"","Complete",IF([[#This Row],[Due Date]]&lt;TODAY(),"Overdue","Pending")))</f>
        <v>0</v>
      </c>
    </row>
    <row r="193" spans="1:9">
      <c r="A193">
        <f>IF([[#This Row],Employee]="","",ROW()-4)</f>
        <v>0</v>
      </c>
      <c r="I193">
        <f>IF([[#This Row],Employee]="","",IF([[#This Row],[Completion Date]]&lt;&gt;"","Complete",IF([[#This Row],[Due Date]]&lt;TODAY(),"Overdue","Pending")))</f>
        <v>0</v>
      </c>
    </row>
    <row r="194" spans="1:9">
      <c r="A194">
        <f>IF([[#This Row],Employee]="","",ROW()-4)</f>
        <v>0</v>
      </c>
      <c r="I194">
        <f>IF([[#This Row],Employee]="","",IF([[#This Row],[Completion Date]]&lt;&gt;"","Complete",IF([[#This Row],[Due Date]]&lt;TODAY(),"Overdue","Pending")))</f>
        <v>0</v>
      </c>
    </row>
    <row r="195" spans="1:9">
      <c r="A195">
        <f>IF([[#This Row],Employee]="","",ROW()-4)</f>
        <v>0</v>
      </c>
      <c r="I195">
        <f>IF([[#This Row],Employee]="","",IF([[#This Row],[Completion Date]]&lt;&gt;"","Complete",IF([[#This Row],[Due Date]]&lt;TODAY(),"Overdue","Pending")))</f>
        <v>0</v>
      </c>
    </row>
    <row r="196" spans="1:9">
      <c r="A196">
        <f>IF([[#This Row],Employee]="","",ROW()-4)</f>
        <v>0</v>
      </c>
      <c r="I196">
        <f>IF([[#This Row],Employee]="","",IF([[#This Row],[Completion Date]]&lt;&gt;"","Complete",IF([[#This Row],[Due Date]]&lt;TODAY(),"Overdue","Pending")))</f>
        <v>0</v>
      </c>
    </row>
    <row r="197" spans="1:9">
      <c r="A197">
        <f>IF([[#This Row],Employee]="","",ROW()-4)</f>
        <v>0</v>
      </c>
      <c r="I197">
        <f>IF([[#This Row],Employee]="","",IF([[#This Row],[Completion Date]]&lt;&gt;"","Complete",IF([[#This Row],[Due Date]]&lt;TODAY(),"Overdue","Pending")))</f>
        <v>0</v>
      </c>
    </row>
    <row r="198" spans="1:9">
      <c r="A198">
        <f>IF([[#This Row],Employee]="","",ROW()-4)</f>
        <v>0</v>
      </c>
      <c r="I198">
        <f>IF([[#This Row],Employee]="","",IF([[#This Row],[Completion Date]]&lt;&gt;"","Complete",IF([[#This Row],[Due Date]]&lt;TODAY(),"Overdue","Pending")))</f>
        <v>0</v>
      </c>
    </row>
    <row r="199" spans="1:9">
      <c r="A199">
        <f>IF([[#This Row],Employee]="","",ROW()-4)</f>
        <v>0</v>
      </c>
      <c r="I199">
        <f>IF([[#This Row],Employee]="","",IF([[#This Row],[Completion Date]]&lt;&gt;"","Complete",IF([[#This Row],[Due Date]]&lt;TODAY(),"Overdue","Pending")))</f>
        <v>0</v>
      </c>
    </row>
    <row r="200" spans="1:9">
      <c r="A200">
        <f>IF([[#This Row],Employee]="","",ROW()-4)</f>
        <v>0</v>
      </c>
      <c r="I200">
        <f>IF([[#This Row],Employee]="","",IF([[#This Row],[Completion Date]]&lt;&gt;"","Complete",IF([[#This Row],[Due Date]]&lt;TODAY(),"Overdue","Pending")))</f>
        <v>0</v>
      </c>
    </row>
    <row r="201" spans="1:9">
      <c r="A201">
        <f>IF([[#This Row],Employee]="","",ROW()-4)</f>
        <v>0</v>
      </c>
      <c r="I201">
        <f>IF([[#This Row],Employee]="","",IF([[#This Row],[Completion Date]]&lt;&gt;"","Complete",IF([[#This Row],[Due Date]]&lt;TODAY(),"Overdue","Pending")))</f>
        <v>0</v>
      </c>
    </row>
    <row r="202" spans="1:9">
      <c r="A202">
        <f>IF([[#This Row],Employee]="","",ROW()-4)</f>
        <v>0</v>
      </c>
      <c r="I202">
        <f>IF([[#This Row],Employee]="","",IF([[#This Row],[Completion Date]]&lt;&gt;"","Complete",IF([[#This Row],[Due Date]]&lt;TODAY(),"Overdue","Pending")))</f>
        <v>0</v>
      </c>
    </row>
    <row r="203" spans="1:9">
      <c r="A203">
        <f>IF([[#This Row],Employee]="","",ROW()-4)</f>
        <v>0</v>
      </c>
      <c r="I203">
        <f>IF([[#This Row],Employee]="","",IF([[#This Row],[Completion Date]]&lt;&gt;"","Complete",IF([[#This Row],[Due Date]]&lt;TODAY(),"Overdue","Pending")))</f>
        <v>0</v>
      </c>
    </row>
    <row r="204" spans="1:9">
      <c r="A204">
        <f>IF([[#This Row],Employee]="","",ROW()-4)</f>
        <v>0</v>
      </c>
      <c r="I204">
        <f>IF([[#This Row],Employee]="","",IF([[#This Row],[Completion Date]]&lt;&gt;"","Complete",IF([[#This Row],[Due Date]]&lt;TODAY(),"Overdue","Pending")))</f>
        <v>0</v>
      </c>
    </row>
  </sheetData>
  <mergeCells count="1">
    <mergeCell ref="A1:J3"/>
  </mergeCells>
  <conditionalFormatting sqref="F5:F204">
    <cfRule type="expression" dxfId="0" priority="9">
      <formula>AND($F5&lt;&gt;"",$F5&lt;TODAY(),$I5&lt;&gt;"Complete")</formula>
    </cfRule>
  </conditionalFormatting>
  <conditionalFormatting sqref="I5:I204">
    <cfRule type="containsText" dxfId="0" priority="1" operator="containsText" text="Overdue">
      <formula>NOT(ISERROR(SEARCH("Overdue",I5)))</formula>
    </cfRule>
    <cfRule type="containsText" dxfId="2" priority="2" operator="containsText" text="Open">
      <formula>NOT(ISERROR(SEARCH("Open",I5)))</formula>
    </cfRule>
    <cfRule type="containsText" dxfId="4" priority="3" operator="containsText" text="In Progress">
      <formula>NOT(ISERROR(SEARCH("In Progress",I5)))</formula>
    </cfRule>
    <cfRule type="containsText" dxfId="2" priority="4" operator="containsText" text="Pending">
      <formula>NOT(ISERROR(SEARCH("Pending",I5)))</formula>
    </cfRule>
    <cfRule type="containsText" dxfId="3" priority="5" operator="containsText" text="Closed">
      <formula>NOT(ISERROR(SEARCH("Closed",I5)))</formula>
    </cfRule>
    <cfRule type="containsText" dxfId="3" priority="6" operator="containsText" text="Done">
      <formula>NOT(ISERROR(SEARCH("Done",I5)))</formula>
    </cfRule>
    <cfRule type="containsText" dxfId="3" priority="7" operator="containsText" text="Complete">
      <formula>NOT(ISERROR(SEARCH("Complete",I5)))</formula>
    </cfRule>
    <cfRule type="containsText" dxfId="5" priority="8" operator="containsText" text="N/A">
      <formula>NOT(ISERROR(SEARCH("N/A",I5)))</formula>
    </cfRule>
  </conditionalFormatting>
  <dataValidations count="4">
    <dataValidation type="list" allowBlank="1" showInputMessage="1" showErrorMessage="1" sqref="C5:C204">
      <formula1>SETUP!$A$2:$A$11</formula1>
    </dataValidation>
    <dataValidation type="list" allowBlank="1" showInputMessage="1" showErrorMessage="1" sqref="E5:E204">
      <formula1>SETUP!$G$2:$G$6</formula1>
    </dataValidation>
    <dataValidation type="list" allowBlank="1" showInputMessage="1" showErrorMessage="1" sqref="J5:J204">
      <formula1>SETUP!$M$2:$M$3</formula1>
    </dataValidation>
    <dataValidation type="decimal" allowBlank="1" showInputMessage="1" showErrorMessage="1" sqref="H5:H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D60A"/>
  </sheetPr>
  <dimension ref="A1:L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4.7109375" customWidth="1"/>
    <col min="3" max="4" width="16.7109375" customWidth="1"/>
    <col min="5" max="5" width="14.7109375" customWidth="1"/>
    <col min="6" max="6" width="10.7109375" customWidth="1"/>
    <col min="7" max="8" width="12.7109375" customWidth="1"/>
    <col min="9" max="9" width="10.7109375" customWidth="1"/>
    <col min="10" max="11" width="12.7109375" customWidth="1"/>
    <col min="12" max="12" width="26.7109375" customWidth="1"/>
  </cols>
  <sheetData>
    <row r="1" spans="1:12" ht="20" customHeight="1">
      <c r="A1" s="12" t="s">
        <v>161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0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0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4" customHeight="1">
      <c r="A4" t="s">
        <v>89</v>
      </c>
      <c r="B4" t="s">
        <v>91</v>
      </c>
      <c r="C4" t="s">
        <v>162</v>
      </c>
      <c r="D4" t="s">
        <v>163</v>
      </c>
      <c r="E4" t="s">
        <v>94</v>
      </c>
      <c r="F4" t="s">
        <v>41</v>
      </c>
      <c r="G4" t="s">
        <v>144</v>
      </c>
      <c r="H4" t="s">
        <v>35</v>
      </c>
      <c r="I4" t="s">
        <v>164</v>
      </c>
      <c r="J4" t="s">
        <v>165</v>
      </c>
      <c r="K4" t="s">
        <v>97</v>
      </c>
      <c r="L4" t="s">
        <v>166</v>
      </c>
    </row>
    <row r="5" spans="1:12" ht="22" customHeight="1">
      <c r="A5">
        <f>IF([[#This Row],Description]="","",ROW()-4)</f>
        <v>0</v>
      </c>
      <c r="B5" s="5" t="s">
        <v>167</v>
      </c>
      <c r="C5" s="5" t="s">
        <v>52</v>
      </c>
      <c r="D5" s="5" t="s">
        <v>101</v>
      </c>
      <c r="E5" s="5" t="s">
        <v>1</v>
      </c>
      <c r="F5" s="5" t="s">
        <v>44</v>
      </c>
      <c r="G5" s="4">
        <v>45323</v>
      </c>
      <c r="H5" s="5" t="s">
        <v>39</v>
      </c>
      <c r="I5" s="9">
        <v>100</v>
      </c>
      <c r="J5">
        <f>IF(AND([[#This Row],Status]&lt;&gt;"Done",[[#This Row],Status]&lt;&gt;"Closed",[[#This Row],Status]&lt;&gt;"",[[#This Row],[Due Date]]&lt;&gt;"",[[#This Row],[Due Date]]&lt;TODAY()),TODAY()-[[#This Row],[Due Date]],0)</f>
        <v>0</v>
      </c>
      <c r="K5" s="4">
        <v>45319</v>
      </c>
    </row>
    <row r="6" spans="1:12" ht="22" customHeight="1">
      <c r="A6">
        <f>IF([[#This Row],Description]="","",ROW()-4)</f>
        <v>0</v>
      </c>
      <c r="B6" s="7" t="s">
        <v>168</v>
      </c>
      <c r="C6" s="7" t="s">
        <v>53</v>
      </c>
      <c r="D6" s="7" t="s">
        <v>107</v>
      </c>
      <c r="E6" s="7" t="s">
        <v>5</v>
      </c>
      <c r="F6" s="7" t="s">
        <v>44</v>
      </c>
      <c r="G6" s="6">
        <v>45383</v>
      </c>
      <c r="H6" s="7" t="s">
        <v>37</v>
      </c>
      <c r="I6" s="10">
        <v>60</v>
      </c>
      <c r="J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" spans="1:12" ht="22" customHeight="1">
      <c r="A7">
        <f>IF([[#This Row],Description]="","",ROW()-4)</f>
        <v>0</v>
      </c>
      <c r="B7" s="5" t="s">
        <v>169</v>
      </c>
      <c r="C7" s="5" t="s">
        <v>52</v>
      </c>
      <c r="D7" s="5" t="s">
        <v>104</v>
      </c>
      <c r="E7" s="5" t="s">
        <v>4</v>
      </c>
      <c r="F7" s="5" t="s">
        <v>43</v>
      </c>
      <c r="G7" s="4">
        <v>45366</v>
      </c>
      <c r="H7" s="5" t="s">
        <v>38</v>
      </c>
      <c r="I7" s="9">
        <v>100</v>
      </c>
      <c r="J7">
        <f>IF(AND([[#This Row],Status]&lt;&gt;"Done",[[#This Row],Status]&lt;&gt;"Closed",[[#This Row],Status]&lt;&gt;"",[[#This Row],[Due Date]]&lt;&gt;"",[[#This Row],[Due Date]]&lt;TODAY()),TODAY()-[[#This Row],[Due Date]],0)</f>
        <v>0</v>
      </c>
      <c r="K7" s="4">
        <v>45361</v>
      </c>
    </row>
    <row r="8" spans="1:12" ht="22" customHeight="1">
      <c r="A8">
        <f>IF([[#This Row],Description]="","",ROW()-4)</f>
        <v>0</v>
      </c>
      <c r="B8" s="7" t="s">
        <v>170</v>
      </c>
      <c r="C8" s="7" t="s">
        <v>52</v>
      </c>
      <c r="D8" s="7" t="s">
        <v>133</v>
      </c>
      <c r="E8" s="7" t="s">
        <v>9</v>
      </c>
      <c r="F8" s="7" t="s">
        <v>44</v>
      </c>
      <c r="G8" s="6">
        <v>45413</v>
      </c>
      <c r="H8" s="7" t="s">
        <v>37</v>
      </c>
      <c r="I8" s="10">
        <v>40</v>
      </c>
      <c r="J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" spans="1:12" ht="22" customHeight="1">
      <c r="A9">
        <f>IF([[#This Row],Description]="","",ROW()-4)</f>
        <v>0</v>
      </c>
      <c r="B9" s="5" t="s">
        <v>171</v>
      </c>
      <c r="C9" s="5" t="s">
        <v>54</v>
      </c>
      <c r="D9" s="5" t="s">
        <v>136</v>
      </c>
      <c r="E9" s="5" t="s">
        <v>2</v>
      </c>
      <c r="F9" s="5" t="s">
        <v>43</v>
      </c>
      <c r="G9" s="4">
        <v>45473</v>
      </c>
      <c r="H9" s="5" t="s">
        <v>172</v>
      </c>
      <c r="I9" s="9">
        <v>0</v>
      </c>
      <c r="J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" spans="1:12" ht="22" customHeight="1">
      <c r="A10">
        <f>IF([[#This Row],Description]="","",ROW()-4)</f>
        <v>0</v>
      </c>
      <c r="B10" s="7" t="s">
        <v>173</v>
      </c>
      <c r="C10" s="7" t="s">
        <v>53</v>
      </c>
      <c r="D10" s="7" t="s">
        <v>119</v>
      </c>
      <c r="E10" s="7" t="s">
        <v>4</v>
      </c>
      <c r="F10" s="7" t="s">
        <v>42</v>
      </c>
      <c r="G10" s="6">
        <v>45535</v>
      </c>
      <c r="H10" s="7" t="s">
        <v>172</v>
      </c>
      <c r="I10" s="10">
        <v>0</v>
      </c>
      <c r="J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" spans="1:12">
      <c r="A11">
        <f>IF([[#This Row],Description]="","",ROW()-4)</f>
        <v>0</v>
      </c>
      <c r="J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" spans="1:12">
      <c r="A12">
        <f>IF([[#This Row],Description]="","",ROW()-4)</f>
        <v>0</v>
      </c>
      <c r="J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" spans="1:12">
      <c r="A13">
        <f>IF([[#This Row],Description]="","",ROW()-4)</f>
        <v>0</v>
      </c>
      <c r="J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" spans="1:12">
      <c r="A14">
        <f>IF([[#This Row],Description]="","",ROW()-4)</f>
        <v>0</v>
      </c>
      <c r="J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" spans="1:12">
      <c r="A15">
        <f>IF([[#This Row],Description]="","",ROW()-4)</f>
        <v>0</v>
      </c>
      <c r="J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" spans="1:12">
      <c r="A16">
        <f>IF([[#This Row],Description]="","",ROW()-4)</f>
        <v>0</v>
      </c>
      <c r="J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" spans="1:10">
      <c r="A17">
        <f>IF([[#This Row],Description]="","",ROW()-4)</f>
        <v>0</v>
      </c>
      <c r="J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" spans="1:10">
      <c r="A18">
        <f>IF([[#This Row],Description]="","",ROW()-4)</f>
        <v>0</v>
      </c>
      <c r="J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" spans="1:10">
      <c r="A19">
        <f>IF([[#This Row],Description]="","",ROW()-4)</f>
        <v>0</v>
      </c>
      <c r="J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" spans="1:10">
      <c r="A20">
        <f>IF([[#This Row],Description]="","",ROW()-4)</f>
        <v>0</v>
      </c>
      <c r="J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1" spans="1:10">
      <c r="A21">
        <f>IF([[#This Row],Description]="","",ROW()-4)</f>
        <v>0</v>
      </c>
      <c r="J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2" spans="1:10">
      <c r="A22">
        <f>IF([[#This Row],Description]="","",ROW()-4)</f>
        <v>0</v>
      </c>
      <c r="J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3" spans="1:10">
      <c r="A23">
        <f>IF([[#This Row],Description]="","",ROW()-4)</f>
        <v>0</v>
      </c>
      <c r="J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4" spans="1:10">
      <c r="A24">
        <f>IF([[#This Row],Description]="","",ROW()-4)</f>
        <v>0</v>
      </c>
      <c r="J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5" spans="1:10">
      <c r="A25">
        <f>IF([[#This Row],Description]="","",ROW()-4)</f>
        <v>0</v>
      </c>
      <c r="J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6" spans="1:10">
      <c r="A26">
        <f>IF([[#This Row],Description]="","",ROW()-4)</f>
        <v>0</v>
      </c>
      <c r="J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7" spans="1:10">
      <c r="A27">
        <f>IF([[#This Row],Description]="","",ROW()-4)</f>
        <v>0</v>
      </c>
      <c r="J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8" spans="1:10">
      <c r="A28">
        <f>IF([[#This Row],Description]="","",ROW()-4)</f>
        <v>0</v>
      </c>
      <c r="J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9" spans="1:10">
      <c r="A29">
        <f>IF([[#This Row],Description]="","",ROW()-4)</f>
        <v>0</v>
      </c>
      <c r="J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0" spans="1:10">
      <c r="A30">
        <f>IF([[#This Row],Description]="","",ROW()-4)</f>
        <v>0</v>
      </c>
      <c r="J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1" spans="1:10">
      <c r="A31">
        <f>IF([[#This Row],Description]="","",ROW()-4)</f>
        <v>0</v>
      </c>
      <c r="J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2" spans="1:10">
      <c r="A32">
        <f>IF([[#This Row],Description]="","",ROW()-4)</f>
        <v>0</v>
      </c>
      <c r="J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3" spans="1:10">
      <c r="A33">
        <f>IF([[#This Row],Description]="","",ROW()-4)</f>
        <v>0</v>
      </c>
      <c r="J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4" spans="1:10">
      <c r="A34">
        <f>IF([[#This Row],Description]="","",ROW()-4)</f>
        <v>0</v>
      </c>
      <c r="J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5" spans="1:10">
      <c r="A35">
        <f>IF([[#This Row],Description]="","",ROW()-4)</f>
        <v>0</v>
      </c>
      <c r="J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6" spans="1:10">
      <c r="A36">
        <f>IF([[#This Row],Description]="","",ROW()-4)</f>
        <v>0</v>
      </c>
      <c r="J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7" spans="1:10">
      <c r="A37">
        <f>IF([[#This Row],Description]="","",ROW()-4)</f>
        <v>0</v>
      </c>
      <c r="J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8" spans="1:10">
      <c r="A38">
        <f>IF([[#This Row],Description]="","",ROW()-4)</f>
        <v>0</v>
      </c>
      <c r="J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39" spans="1:10">
      <c r="A39">
        <f>IF([[#This Row],Description]="","",ROW()-4)</f>
        <v>0</v>
      </c>
      <c r="J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0" spans="1:10">
      <c r="A40">
        <f>IF([[#This Row],Description]="","",ROW()-4)</f>
        <v>0</v>
      </c>
      <c r="J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1" spans="1:10">
      <c r="A41">
        <f>IF([[#This Row],Description]="","",ROW()-4)</f>
        <v>0</v>
      </c>
      <c r="J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2" spans="1:10">
      <c r="A42">
        <f>IF([[#This Row],Description]="","",ROW()-4)</f>
        <v>0</v>
      </c>
      <c r="J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3" spans="1:10">
      <c r="A43">
        <f>IF([[#This Row],Description]="","",ROW()-4)</f>
        <v>0</v>
      </c>
      <c r="J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4" spans="1:10">
      <c r="A44">
        <f>IF([[#This Row],Description]="","",ROW()-4)</f>
        <v>0</v>
      </c>
      <c r="J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5" spans="1:10">
      <c r="A45">
        <f>IF([[#This Row],Description]="","",ROW()-4)</f>
        <v>0</v>
      </c>
      <c r="J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6" spans="1:10">
      <c r="A46">
        <f>IF([[#This Row],Description]="","",ROW()-4)</f>
        <v>0</v>
      </c>
      <c r="J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7" spans="1:10">
      <c r="A47">
        <f>IF([[#This Row],Description]="","",ROW()-4)</f>
        <v>0</v>
      </c>
      <c r="J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8" spans="1:10">
      <c r="A48">
        <f>IF([[#This Row],Description]="","",ROW()-4)</f>
        <v>0</v>
      </c>
      <c r="J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49" spans="1:10">
      <c r="A49">
        <f>IF([[#This Row],Description]="","",ROW()-4)</f>
        <v>0</v>
      </c>
      <c r="J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0" spans="1:10">
      <c r="A50">
        <f>IF([[#This Row],Description]="","",ROW()-4)</f>
        <v>0</v>
      </c>
      <c r="J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1" spans="1:10">
      <c r="A51">
        <f>IF([[#This Row],Description]="","",ROW()-4)</f>
        <v>0</v>
      </c>
      <c r="J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2" spans="1:10">
      <c r="A52">
        <f>IF([[#This Row],Description]="","",ROW()-4)</f>
        <v>0</v>
      </c>
      <c r="J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3" spans="1:10">
      <c r="A53">
        <f>IF([[#This Row],Description]="","",ROW()-4)</f>
        <v>0</v>
      </c>
      <c r="J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4" spans="1:10">
      <c r="A54">
        <f>IF([[#This Row],Description]="","",ROW()-4)</f>
        <v>0</v>
      </c>
      <c r="J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5" spans="1:10">
      <c r="A55">
        <f>IF([[#This Row],Description]="","",ROW()-4)</f>
        <v>0</v>
      </c>
      <c r="J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6" spans="1:10">
      <c r="A56">
        <f>IF([[#This Row],Description]="","",ROW()-4)</f>
        <v>0</v>
      </c>
      <c r="J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7" spans="1:10">
      <c r="A57">
        <f>IF([[#This Row],Description]="","",ROW()-4)</f>
        <v>0</v>
      </c>
      <c r="J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8" spans="1:10">
      <c r="A58">
        <f>IF([[#This Row],Description]="","",ROW()-4)</f>
        <v>0</v>
      </c>
      <c r="J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59" spans="1:10">
      <c r="A59">
        <f>IF([[#This Row],Description]="","",ROW()-4)</f>
        <v>0</v>
      </c>
      <c r="J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0" spans="1:10">
      <c r="A60">
        <f>IF([[#This Row],Description]="","",ROW()-4)</f>
        <v>0</v>
      </c>
      <c r="J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1" spans="1:10">
      <c r="A61">
        <f>IF([[#This Row],Description]="","",ROW()-4)</f>
        <v>0</v>
      </c>
      <c r="J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2" spans="1:10">
      <c r="A62">
        <f>IF([[#This Row],Description]="","",ROW()-4)</f>
        <v>0</v>
      </c>
      <c r="J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3" spans="1:10">
      <c r="A63">
        <f>IF([[#This Row],Description]="","",ROW()-4)</f>
        <v>0</v>
      </c>
      <c r="J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4" spans="1:10">
      <c r="A64">
        <f>IF([[#This Row],Description]="","",ROW()-4)</f>
        <v>0</v>
      </c>
      <c r="J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5" spans="1:10">
      <c r="A65">
        <f>IF([[#This Row],Description]="","",ROW()-4)</f>
        <v>0</v>
      </c>
      <c r="J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6" spans="1:10">
      <c r="A66">
        <f>IF([[#This Row],Description]="","",ROW()-4)</f>
        <v>0</v>
      </c>
      <c r="J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7" spans="1:10">
      <c r="A67">
        <f>IF([[#This Row],Description]="","",ROW()-4)</f>
        <v>0</v>
      </c>
      <c r="J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8" spans="1:10">
      <c r="A68">
        <f>IF([[#This Row],Description]="","",ROW()-4)</f>
        <v>0</v>
      </c>
      <c r="J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69" spans="1:10">
      <c r="A69">
        <f>IF([[#This Row],Description]="","",ROW()-4)</f>
        <v>0</v>
      </c>
      <c r="J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0" spans="1:10">
      <c r="A70">
        <f>IF([[#This Row],Description]="","",ROW()-4)</f>
        <v>0</v>
      </c>
      <c r="J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1" spans="1:10">
      <c r="A71">
        <f>IF([[#This Row],Description]="","",ROW()-4)</f>
        <v>0</v>
      </c>
      <c r="J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2" spans="1:10">
      <c r="A72">
        <f>IF([[#This Row],Description]="","",ROW()-4)</f>
        <v>0</v>
      </c>
      <c r="J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3" spans="1:10">
      <c r="A73">
        <f>IF([[#This Row],Description]="","",ROW()-4)</f>
        <v>0</v>
      </c>
      <c r="J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4" spans="1:10">
      <c r="A74">
        <f>IF([[#This Row],Description]="","",ROW()-4)</f>
        <v>0</v>
      </c>
      <c r="J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5" spans="1:10">
      <c r="A75">
        <f>IF([[#This Row],Description]="","",ROW()-4)</f>
        <v>0</v>
      </c>
      <c r="J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6" spans="1:10">
      <c r="A76">
        <f>IF([[#This Row],Description]="","",ROW()-4)</f>
        <v>0</v>
      </c>
      <c r="J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7" spans="1:10">
      <c r="A77">
        <f>IF([[#This Row],Description]="","",ROW()-4)</f>
        <v>0</v>
      </c>
      <c r="J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8" spans="1:10">
      <c r="A78">
        <f>IF([[#This Row],Description]="","",ROW()-4)</f>
        <v>0</v>
      </c>
      <c r="J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79" spans="1:10">
      <c r="A79">
        <f>IF([[#This Row],Description]="","",ROW()-4)</f>
        <v>0</v>
      </c>
      <c r="J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0" spans="1:10">
      <c r="A80">
        <f>IF([[#This Row],Description]="","",ROW()-4)</f>
        <v>0</v>
      </c>
      <c r="J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1" spans="1:10">
      <c r="A81">
        <f>IF([[#This Row],Description]="","",ROW()-4)</f>
        <v>0</v>
      </c>
      <c r="J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2" spans="1:10">
      <c r="A82">
        <f>IF([[#This Row],Description]="","",ROW()-4)</f>
        <v>0</v>
      </c>
      <c r="J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3" spans="1:10">
      <c r="A83">
        <f>IF([[#This Row],Description]="","",ROW()-4)</f>
        <v>0</v>
      </c>
      <c r="J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4" spans="1:10">
      <c r="A84">
        <f>IF([[#This Row],Description]="","",ROW()-4)</f>
        <v>0</v>
      </c>
      <c r="J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5" spans="1:10">
      <c r="A85">
        <f>IF([[#This Row],Description]="","",ROW()-4)</f>
        <v>0</v>
      </c>
      <c r="J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6" spans="1:10">
      <c r="A86">
        <f>IF([[#This Row],Description]="","",ROW()-4)</f>
        <v>0</v>
      </c>
      <c r="J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7" spans="1:10">
      <c r="A87">
        <f>IF([[#This Row],Description]="","",ROW()-4)</f>
        <v>0</v>
      </c>
      <c r="J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8" spans="1:10">
      <c r="A88">
        <f>IF([[#This Row],Description]="","",ROW()-4)</f>
        <v>0</v>
      </c>
      <c r="J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89" spans="1:10">
      <c r="A89">
        <f>IF([[#This Row],Description]="","",ROW()-4)</f>
        <v>0</v>
      </c>
      <c r="J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0" spans="1:10">
      <c r="A90">
        <f>IF([[#This Row],Description]="","",ROW()-4)</f>
        <v>0</v>
      </c>
      <c r="J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1" spans="1:10">
      <c r="A91">
        <f>IF([[#This Row],Description]="","",ROW()-4)</f>
        <v>0</v>
      </c>
      <c r="J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2" spans="1:10">
      <c r="A92">
        <f>IF([[#This Row],Description]="","",ROW()-4)</f>
        <v>0</v>
      </c>
      <c r="J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3" spans="1:10">
      <c r="A93">
        <f>IF([[#This Row],Description]="","",ROW()-4)</f>
        <v>0</v>
      </c>
      <c r="J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4" spans="1:10">
      <c r="A94">
        <f>IF([[#This Row],Description]="","",ROW()-4)</f>
        <v>0</v>
      </c>
      <c r="J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5" spans="1:10">
      <c r="A95">
        <f>IF([[#This Row],Description]="","",ROW()-4)</f>
        <v>0</v>
      </c>
      <c r="J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6" spans="1:10">
      <c r="A96">
        <f>IF([[#This Row],Description]="","",ROW()-4)</f>
        <v>0</v>
      </c>
      <c r="J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7" spans="1:10">
      <c r="A97">
        <f>IF([[#This Row],Description]="","",ROW()-4)</f>
        <v>0</v>
      </c>
      <c r="J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8" spans="1:10">
      <c r="A98">
        <f>IF([[#This Row],Description]="","",ROW()-4)</f>
        <v>0</v>
      </c>
      <c r="J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99" spans="1:10">
      <c r="A99">
        <f>IF([[#This Row],Description]="","",ROW()-4)</f>
        <v>0</v>
      </c>
      <c r="J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0" spans="1:10">
      <c r="A100">
        <f>IF([[#This Row],Description]="","",ROW()-4)</f>
        <v>0</v>
      </c>
      <c r="J1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1" spans="1:10">
      <c r="A101">
        <f>IF([[#This Row],Description]="","",ROW()-4)</f>
        <v>0</v>
      </c>
      <c r="J1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2" spans="1:10">
      <c r="A102">
        <f>IF([[#This Row],Description]="","",ROW()-4)</f>
        <v>0</v>
      </c>
      <c r="J1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3" spans="1:10">
      <c r="A103">
        <f>IF([[#This Row],Description]="","",ROW()-4)</f>
        <v>0</v>
      </c>
      <c r="J1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4" spans="1:10">
      <c r="A104">
        <f>IF([[#This Row],Description]="","",ROW()-4)</f>
        <v>0</v>
      </c>
      <c r="J10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5" spans="1:10">
      <c r="A105">
        <f>IF([[#This Row],Description]="","",ROW()-4)</f>
        <v>0</v>
      </c>
      <c r="J10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6" spans="1:10">
      <c r="A106">
        <f>IF([[#This Row],Description]="","",ROW()-4)</f>
        <v>0</v>
      </c>
      <c r="J10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7" spans="1:10">
      <c r="A107">
        <f>IF([[#This Row],Description]="","",ROW()-4)</f>
        <v>0</v>
      </c>
      <c r="J10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8" spans="1:10">
      <c r="A108">
        <f>IF([[#This Row],Description]="","",ROW()-4)</f>
        <v>0</v>
      </c>
      <c r="J10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09" spans="1:10">
      <c r="A109">
        <f>IF([[#This Row],Description]="","",ROW()-4)</f>
        <v>0</v>
      </c>
      <c r="J10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0" spans="1:10">
      <c r="A110">
        <f>IF([[#This Row],Description]="","",ROW()-4)</f>
        <v>0</v>
      </c>
      <c r="J11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1" spans="1:10">
      <c r="A111">
        <f>IF([[#This Row],Description]="","",ROW()-4)</f>
        <v>0</v>
      </c>
      <c r="J11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2" spans="1:10">
      <c r="A112">
        <f>IF([[#This Row],Description]="","",ROW()-4)</f>
        <v>0</v>
      </c>
      <c r="J11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3" spans="1:10">
      <c r="A113">
        <f>IF([[#This Row],Description]="","",ROW()-4)</f>
        <v>0</v>
      </c>
      <c r="J11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4" spans="1:10">
      <c r="A114">
        <f>IF([[#This Row],Description]="","",ROW()-4)</f>
        <v>0</v>
      </c>
      <c r="J11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5" spans="1:10">
      <c r="A115">
        <f>IF([[#This Row],Description]="","",ROW()-4)</f>
        <v>0</v>
      </c>
      <c r="J11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6" spans="1:10">
      <c r="A116">
        <f>IF([[#This Row],Description]="","",ROW()-4)</f>
        <v>0</v>
      </c>
      <c r="J11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7" spans="1:10">
      <c r="A117">
        <f>IF([[#This Row],Description]="","",ROW()-4)</f>
        <v>0</v>
      </c>
      <c r="J11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8" spans="1:10">
      <c r="A118">
        <f>IF([[#This Row],Description]="","",ROW()-4)</f>
        <v>0</v>
      </c>
      <c r="J11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19" spans="1:10">
      <c r="A119">
        <f>IF([[#This Row],Description]="","",ROW()-4)</f>
        <v>0</v>
      </c>
      <c r="J11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0" spans="1:10">
      <c r="A120">
        <f>IF([[#This Row],Description]="","",ROW()-4)</f>
        <v>0</v>
      </c>
      <c r="J12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1" spans="1:10">
      <c r="A121">
        <f>IF([[#This Row],Description]="","",ROW()-4)</f>
        <v>0</v>
      </c>
      <c r="J12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2" spans="1:10">
      <c r="A122">
        <f>IF([[#This Row],Description]="","",ROW()-4)</f>
        <v>0</v>
      </c>
      <c r="J12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3" spans="1:10">
      <c r="A123">
        <f>IF([[#This Row],Description]="","",ROW()-4)</f>
        <v>0</v>
      </c>
      <c r="J12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4" spans="1:10">
      <c r="A124">
        <f>IF([[#This Row],Description]="","",ROW()-4)</f>
        <v>0</v>
      </c>
      <c r="J12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5" spans="1:10">
      <c r="A125">
        <f>IF([[#This Row],Description]="","",ROW()-4)</f>
        <v>0</v>
      </c>
      <c r="J12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6" spans="1:10">
      <c r="A126">
        <f>IF([[#This Row],Description]="","",ROW()-4)</f>
        <v>0</v>
      </c>
      <c r="J12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7" spans="1:10">
      <c r="A127">
        <f>IF([[#This Row],Description]="","",ROW()-4)</f>
        <v>0</v>
      </c>
      <c r="J12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8" spans="1:10">
      <c r="A128">
        <f>IF([[#This Row],Description]="","",ROW()-4)</f>
        <v>0</v>
      </c>
      <c r="J12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29" spans="1:10">
      <c r="A129">
        <f>IF([[#This Row],Description]="","",ROW()-4)</f>
        <v>0</v>
      </c>
      <c r="J12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0" spans="1:10">
      <c r="A130">
        <f>IF([[#This Row],Description]="","",ROW()-4)</f>
        <v>0</v>
      </c>
      <c r="J13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1" spans="1:10">
      <c r="A131">
        <f>IF([[#This Row],Description]="","",ROW()-4)</f>
        <v>0</v>
      </c>
      <c r="J13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2" spans="1:10">
      <c r="A132">
        <f>IF([[#This Row],Description]="","",ROW()-4)</f>
        <v>0</v>
      </c>
      <c r="J13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3" spans="1:10">
      <c r="A133">
        <f>IF([[#This Row],Description]="","",ROW()-4)</f>
        <v>0</v>
      </c>
      <c r="J13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4" spans="1:10">
      <c r="A134">
        <f>IF([[#This Row],Description]="","",ROW()-4)</f>
        <v>0</v>
      </c>
      <c r="J13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5" spans="1:10">
      <c r="A135">
        <f>IF([[#This Row],Description]="","",ROW()-4)</f>
        <v>0</v>
      </c>
      <c r="J13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6" spans="1:10">
      <c r="A136">
        <f>IF([[#This Row],Description]="","",ROW()-4)</f>
        <v>0</v>
      </c>
      <c r="J13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7" spans="1:10">
      <c r="A137">
        <f>IF([[#This Row],Description]="","",ROW()-4)</f>
        <v>0</v>
      </c>
      <c r="J13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8" spans="1:10">
      <c r="A138">
        <f>IF([[#This Row],Description]="","",ROW()-4)</f>
        <v>0</v>
      </c>
      <c r="J13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39" spans="1:10">
      <c r="A139">
        <f>IF([[#This Row],Description]="","",ROW()-4)</f>
        <v>0</v>
      </c>
      <c r="J13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0" spans="1:10">
      <c r="A140">
        <f>IF([[#This Row],Description]="","",ROW()-4)</f>
        <v>0</v>
      </c>
      <c r="J14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1" spans="1:10">
      <c r="A141">
        <f>IF([[#This Row],Description]="","",ROW()-4)</f>
        <v>0</v>
      </c>
      <c r="J14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2" spans="1:10">
      <c r="A142">
        <f>IF([[#This Row],Description]="","",ROW()-4)</f>
        <v>0</v>
      </c>
      <c r="J14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3" spans="1:10">
      <c r="A143">
        <f>IF([[#This Row],Description]="","",ROW()-4)</f>
        <v>0</v>
      </c>
      <c r="J14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4" spans="1:10">
      <c r="A144">
        <f>IF([[#This Row],Description]="","",ROW()-4)</f>
        <v>0</v>
      </c>
      <c r="J14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5" spans="1:10">
      <c r="A145">
        <f>IF([[#This Row],Description]="","",ROW()-4)</f>
        <v>0</v>
      </c>
      <c r="J14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6" spans="1:10">
      <c r="A146">
        <f>IF([[#This Row],Description]="","",ROW()-4)</f>
        <v>0</v>
      </c>
      <c r="J14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7" spans="1:10">
      <c r="A147">
        <f>IF([[#This Row],Description]="","",ROW()-4)</f>
        <v>0</v>
      </c>
      <c r="J14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8" spans="1:10">
      <c r="A148">
        <f>IF([[#This Row],Description]="","",ROW()-4)</f>
        <v>0</v>
      </c>
      <c r="J14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49" spans="1:10">
      <c r="A149">
        <f>IF([[#This Row],Description]="","",ROW()-4)</f>
        <v>0</v>
      </c>
      <c r="J14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0" spans="1:10">
      <c r="A150">
        <f>IF([[#This Row],Description]="","",ROW()-4)</f>
        <v>0</v>
      </c>
      <c r="J15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1" spans="1:10">
      <c r="A151">
        <f>IF([[#This Row],Description]="","",ROW()-4)</f>
        <v>0</v>
      </c>
      <c r="J15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2" spans="1:10">
      <c r="A152">
        <f>IF([[#This Row],Description]="","",ROW()-4)</f>
        <v>0</v>
      </c>
      <c r="J15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3" spans="1:10">
      <c r="A153">
        <f>IF([[#This Row],Description]="","",ROW()-4)</f>
        <v>0</v>
      </c>
      <c r="J15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4" spans="1:10">
      <c r="A154">
        <f>IF([[#This Row],Description]="","",ROW()-4)</f>
        <v>0</v>
      </c>
      <c r="J15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5" spans="1:10">
      <c r="A155">
        <f>IF([[#This Row],Description]="","",ROW()-4)</f>
        <v>0</v>
      </c>
      <c r="J15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6" spans="1:10">
      <c r="A156">
        <f>IF([[#This Row],Description]="","",ROW()-4)</f>
        <v>0</v>
      </c>
      <c r="J15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7" spans="1:10">
      <c r="A157">
        <f>IF([[#This Row],Description]="","",ROW()-4)</f>
        <v>0</v>
      </c>
      <c r="J15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8" spans="1:10">
      <c r="A158">
        <f>IF([[#This Row],Description]="","",ROW()-4)</f>
        <v>0</v>
      </c>
      <c r="J15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59" spans="1:10">
      <c r="A159">
        <f>IF([[#This Row],Description]="","",ROW()-4)</f>
        <v>0</v>
      </c>
      <c r="J15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0" spans="1:10">
      <c r="A160">
        <f>IF([[#This Row],Description]="","",ROW()-4)</f>
        <v>0</v>
      </c>
      <c r="J16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1" spans="1:10">
      <c r="A161">
        <f>IF([[#This Row],Description]="","",ROW()-4)</f>
        <v>0</v>
      </c>
      <c r="J16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2" spans="1:10">
      <c r="A162">
        <f>IF([[#This Row],Description]="","",ROW()-4)</f>
        <v>0</v>
      </c>
      <c r="J16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3" spans="1:10">
      <c r="A163">
        <f>IF([[#This Row],Description]="","",ROW()-4)</f>
        <v>0</v>
      </c>
      <c r="J16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4" spans="1:10">
      <c r="A164">
        <f>IF([[#This Row],Description]="","",ROW()-4)</f>
        <v>0</v>
      </c>
      <c r="J16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5" spans="1:10">
      <c r="A165">
        <f>IF([[#This Row],Description]="","",ROW()-4)</f>
        <v>0</v>
      </c>
      <c r="J16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6" spans="1:10">
      <c r="A166">
        <f>IF([[#This Row],Description]="","",ROW()-4)</f>
        <v>0</v>
      </c>
      <c r="J16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7" spans="1:10">
      <c r="A167">
        <f>IF([[#This Row],Description]="","",ROW()-4)</f>
        <v>0</v>
      </c>
      <c r="J16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8" spans="1:10">
      <c r="A168">
        <f>IF([[#This Row],Description]="","",ROW()-4)</f>
        <v>0</v>
      </c>
      <c r="J16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69" spans="1:10">
      <c r="A169">
        <f>IF([[#This Row],Description]="","",ROW()-4)</f>
        <v>0</v>
      </c>
      <c r="J16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0" spans="1:10">
      <c r="A170">
        <f>IF([[#This Row],Description]="","",ROW()-4)</f>
        <v>0</v>
      </c>
      <c r="J17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1" spans="1:10">
      <c r="A171">
        <f>IF([[#This Row],Description]="","",ROW()-4)</f>
        <v>0</v>
      </c>
      <c r="J17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2" spans="1:10">
      <c r="A172">
        <f>IF([[#This Row],Description]="","",ROW()-4)</f>
        <v>0</v>
      </c>
      <c r="J17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3" spans="1:10">
      <c r="A173">
        <f>IF([[#This Row],Description]="","",ROW()-4)</f>
        <v>0</v>
      </c>
      <c r="J17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4" spans="1:10">
      <c r="A174">
        <f>IF([[#This Row],Description]="","",ROW()-4)</f>
        <v>0</v>
      </c>
      <c r="J17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5" spans="1:10">
      <c r="A175">
        <f>IF([[#This Row],Description]="","",ROW()-4)</f>
        <v>0</v>
      </c>
      <c r="J17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6" spans="1:10">
      <c r="A176">
        <f>IF([[#This Row],Description]="","",ROW()-4)</f>
        <v>0</v>
      </c>
      <c r="J17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7" spans="1:10">
      <c r="A177">
        <f>IF([[#This Row],Description]="","",ROW()-4)</f>
        <v>0</v>
      </c>
      <c r="J17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8" spans="1:10">
      <c r="A178">
        <f>IF([[#This Row],Description]="","",ROW()-4)</f>
        <v>0</v>
      </c>
      <c r="J17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79" spans="1:10">
      <c r="A179">
        <f>IF([[#This Row],Description]="","",ROW()-4)</f>
        <v>0</v>
      </c>
      <c r="J17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0" spans="1:10">
      <c r="A180">
        <f>IF([[#This Row],Description]="","",ROW()-4)</f>
        <v>0</v>
      </c>
      <c r="J18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1" spans="1:10">
      <c r="A181">
        <f>IF([[#This Row],Description]="","",ROW()-4)</f>
        <v>0</v>
      </c>
      <c r="J18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2" spans="1:10">
      <c r="A182">
        <f>IF([[#This Row],Description]="","",ROW()-4)</f>
        <v>0</v>
      </c>
      <c r="J18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3" spans="1:10">
      <c r="A183">
        <f>IF([[#This Row],Description]="","",ROW()-4)</f>
        <v>0</v>
      </c>
      <c r="J18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4" spans="1:10">
      <c r="A184">
        <f>IF([[#This Row],Description]="","",ROW()-4)</f>
        <v>0</v>
      </c>
      <c r="J18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5" spans="1:10">
      <c r="A185">
        <f>IF([[#This Row],Description]="","",ROW()-4)</f>
        <v>0</v>
      </c>
      <c r="J18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6" spans="1:10">
      <c r="A186">
        <f>IF([[#This Row],Description]="","",ROW()-4)</f>
        <v>0</v>
      </c>
      <c r="J18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7" spans="1:10">
      <c r="A187">
        <f>IF([[#This Row],Description]="","",ROW()-4)</f>
        <v>0</v>
      </c>
      <c r="J18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8" spans="1:10">
      <c r="A188">
        <f>IF([[#This Row],Description]="","",ROW()-4)</f>
        <v>0</v>
      </c>
      <c r="J18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89" spans="1:10">
      <c r="A189">
        <f>IF([[#This Row],Description]="","",ROW()-4)</f>
        <v>0</v>
      </c>
      <c r="J18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0" spans="1:10">
      <c r="A190">
        <f>IF([[#This Row],Description]="","",ROW()-4)</f>
        <v>0</v>
      </c>
      <c r="J19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1" spans="1:10">
      <c r="A191">
        <f>IF([[#This Row],Description]="","",ROW()-4)</f>
        <v>0</v>
      </c>
      <c r="J19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2" spans="1:10">
      <c r="A192">
        <f>IF([[#This Row],Description]="","",ROW()-4)</f>
        <v>0</v>
      </c>
      <c r="J19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3" spans="1:10">
      <c r="A193">
        <f>IF([[#This Row],Description]="","",ROW()-4)</f>
        <v>0</v>
      </c>
      <c r="J19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4" spans="1:10">
      <c r="A194">
        <f>IF([[#This Row],Description]="","",ROW()-4)</f>
        <v>0</v>
      </c>
      <c r="J194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5" spans="1:10">
      <c r="A195">
        <f>IF([[#This Row],Description]="","",ROW()-4)</f>
        <v>0</v>
      </c>
      <c r="J195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6" spans="1:10">
      <c r="A196">
        <f>IF([[#This Row],Description]="","",ROW()-4)</f>
        <v>0</v>
      </c>
      <c r="J196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7" spans="1:10">
      <c r="A197">
        <f>IF([[#This Row],Description]="","",ROW()-4)</f>
        <v>0</v>
      </c>
      <c r="J197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8" spans="1:10">
      <c r="A198">
        <f>IF([[#This Row],Description]="","",ROW()-4)</f>
        <v>0</v>
      </c>
      <c r="J198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199" spans="1:10">
      <c r="A199">
        <f>IF([[#This Row],Description]="","",ROW()-4)</f>
        <v>0</v>
      </c>
      <c r="J199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0" spans="1:10">
      <c r="A200">
        <f>IF([[#This Row],Description]="","",ROW()-4)</f>
        <v>0</v>
      </c>
      <c r="J200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1" spans="1:10">
      <c r="A201">
        <f>IF([[#This Row],Description]="","",ROW()-4)</f>
        <v>0</v>
      </c>
      <c r="J201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2" spans="1:10">
      <c r="A202">
        <f>IF([[#This Row],Description]="","",ROW()-4)</f>
        <v>0</v>
      </c>
      <c r="J202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3" spans="1:10">
      <c r="A203">
        <f>IF([[#This Row],Description]="","",ROW()-4)</f>
        <v>0</v>
      </c>
      <c r="J203">
        <f>IF(AND([[#This Row],Status]&lt;&gt;"Done",[[#This Row],Status]&lt;&gt;"Closed",[[#This Row],Status]&lt;&gt;"",[[#This Row],[Due Date]]&lt;&gt;"",[[#This Row],[Due Date]]&lt;TODAY()),TODAY()-[[#This Row],[Due Date]],0)</f>
        <v>0</v>
      </c>
    </row>
    <row r="204" spans="1:10">
      <c r="A204">
        <f>IF([[#This Row],Description]="","",ROW()-4)</f>
        <v>0</v>
      </c>
      <c r="J204">
        <f>IF(AND([[#This Row],Status]&lt;&gt;"Done",[[#This Row],Status]&lt;&gt;"Closed",[[#This Row],Status]&lt;&gt;"",[[#This Row],[Due Date]]&lt;&gt;"",[[#This Row],[Due Date]]&lt;TODAY()),TODAY()-[[#This Row],[Due Date]],0)</f>
        <v>0</v>
      </c>
    </row>
  </sheetData>
  <mergeCells count="1">
    <mergeCell ref="A1:L3"/>
  </mergeCells>
  <conditionalFormatting sqref="F5:F204">
    <cfRule type="containsText" dxfId="0" priority="1" operator="containsText" text="High">
      <formula>NOT(ISERROR(SEARCH("High",F5)))</formula>
    </cfRule>
    <cfRule type="containsText" dxfId="2" priority="2" operator="containsText" text="Medium">
      <formula>NOT(ISERROR(SEARCH("Medium",F5)))</formula>
    </cfRule>
    <cfRule type="containsText" dxfId="3" priority="3" operator="containsText" text="Low">
      <formula>NOT(ISERROR(SEARCH("Low",F5)))</formula>
    </cfRule>
  </conditionalFormatting>
  <conditionalFormatting sqref="H5:H204">
    <cfRule type="containsText" dxfId="0" priority="4" operator="containsText" text="Overdue">
      <formula>NOT(ISERROR(SEARCH("Overdue",H5)))</formula>
    </cfRule>
    <cfRule type="containsText" dxfId="2" priority="5" operator="containsText" text="Open">
      <formula>NOT(ISERROR(SEARCH("Open",H5)))</formula>
    </cfRule>
    <cfRule type="containsText" dxfId="4" priority="6" operator="containsText" text="In Progress">
      <formula>NOT(ISERROR(SEARCH("In Progress",H5)))</formula>
    </cfRule>
    <cfRule type="containsText" dxfId="2" priority="7" operator="containsText" text="Pending">
      <formula>NOT(ISERROR(SEARCH("Pending",H5)))</formula>
    </cfRule>
    <cfRule type="containsText" dxfId="3" priority="8" operator="containsText" text="Closed">
      <formula>NOT(ISERROR(SEARCH("Closed",H5)))</formula>
    </cfRule>
    <cfRule type="containsText" dxfId="3" priority="9" operator="containsText" text="Done">
      <formula>NOT(ISERROR(SEARCH("Done",H5)))</formula>
    </cfRule>
    <cfRule type="containsText" dxfId="3" priority="10" operator="containsText" text="Complete">
      <formula>NOT(ISERROR(SEARCH("Complete",H5)))</formula>
    </cfRule>
    <cfRule type="containsText" dxfId="5" priority="11" operator="containsText" text="N/A">
      <formula>NOT(ISERROR(SEARCH("N/A",H5)))</formula>
    </cfRule>
  </conditionalFormatting>
  <conditionalFormatting sqref="J5:J204">
    <cfRule type="cellIs" dxfId="0" priority="12" operator="greaterThan">
      <formula>30</formula>
    </cfRule>
    <cfRule type="cellIs" dxfId="2" priority="13" operator="greaterThan">
      <formula>0</formula>
    </cfRule>
  </conditionalFormatting>
  <dataValidations count="5">
    <dataValidation type="list" allowBlank="1" showInputMessage="1" showErrorMessage="1" sqref="C5:C204">
      <formula1>SETUP!$H$2:$H$7</formula1>
    </dataValidation>
    <dataValidation type="list" allowBlank="1" showInputMessage="1" showErrorMessage="1" sqref="E5:E204">
      <formula1>SETUP!$A$2:$A$11</formula1>
    </dataValidation>
    <dataValidation type="list" allowBlank="1" showInputMessage="1" showErrorMessage="1" sqref="F5:F204">
      <formula1>SETUP!$F$2:$F$4</formula1>
    </dataValidation>
    <dataValidation type="list" allowBlank="1" showInputMessage="1" showErrorMessage="1" sqref="H5:H204">
      <formula1>SETUP!$E$2:$E$6</formula1>
    </dataValidation>
    <dataValidation type="decimal" allowBlank="1" showInputMessage="1" showErrorMessage="1" sqref="I5:I204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8C00"/>
  </sheetPr>
  <dimension ref="A1:O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3" width="16.7109375" customWidth="1"/>
    <col min="4" max="4" width="14.7109375" customWidth="1"/>
    <col min="5" max="6" width="12.7109375" customWidth="1"/>
    <col min="7" max="8" width="10.7109375" customWidth="1"/>
    <col min="9" max="9" width="32.7109375" customWidth="1"/>
    <col min="10" max="11" width="14.7109375" customWidth="1"/>
    <col min="12" max="13" width="10.7109375" customWidth="1"/>
    <col min="14" max="14" width="14.7109375" customWidth="1"/>
    <col min="15" max="15" width="12.7109375" customWidth="1"/>
  </cols>
  <sheetData>
    <row r="1" spans="1:15" ht="20" customHeight="1">
      <c r="A1" s="13" t="s">
        <v>174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0" customHeight="1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20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24" customHeight="1">
      <c r="A4" t="s">
        <v>89</v>
      </c>
      <c r="B4" t="s">
        <v>175</v>
      </c>
      <c r="C4" t="s">
        <v>93</v>
      </c>
      <c r="D4" t="s">
        <v>94</v>
      </c>
      <c r="E4" t="s">
        <v>176</v>
      </c>
      <c r="F4" t="s">
        <v>177</v>
      </c>
      <c r="G4" t="s">
        <v>178</v>
      </c>
      <c r="H4" t="s">
        <v>179</v>
      </c>
      <c r="I4" t="s">
        <v>180</v>
      </c>
      <c r="J4" t="s">
        <v>181</v>
      </c>
      <c r="K4" t="s">
        <v>182</v>
      </c>
      <c r="L4" t="s">
        <v>187</v>
      </c>
      <c r="M4" t="s">
        <v>188</v>
      </c>
      <c r="N4" t="s">
        <v>185</v>
      </c>
      <c r="O4" t="s">
        <v>186</v>
      </c>
    </row>
    <row r="5" spans="1:15" ht="22" customHeight="1">
      <c r="A5">
        <f>IF([[#This Row],Hazard]="","",ROW()-4)</f>
        <v>0</v>
      </c>
      <c r="B5" s="5" t="s">
        <v>189</v>
      </c>
      <c r="C5" s="5" t="s">
        <v>12</v>
      </c>
      <c r="D5" s="5" t="s">
        <v>1</v>
      </c>
      <c r="E5" s="9">
        <v>4</v>
      </c>
      <c r="F5" s="9">
        <v>4</v>
      </c>
      <c r="G5">
        <f>IF(AND([[#This Row],Likelihood]&lt;&gt;"",[[#This Row],Consequence]&lt;&gt;""),[[#This Row],Likelihood]*[[#This Row],Consequence],"")</f>
        <v>0</v>
      </c>
      <c r="H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5" s="5" t="s">
        <v>190</v>
      </c>
      <c r="J5" s="9">
        <v>2</v>
      </c>
      <c r="K5" s="9">
        <v>2</v>
      </c>
      <c r="L5">
        <f>IF(AND([[#This Row],[Res. Likelihood]]&lt;&gt;"",[[#This Row],[Res. Consequence]]&lt;&gt;""),[[#This Row],[Res. Likelihood]]*[[#This Row],[Res. Consequence]],"")</f>
        <v>0</v>
      </c>
      <c r="M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5" s="5" t="s">
        <v>119</v>
      </c>
      <c r="O5" s="4">
        <v>45536</v>
      </c>
    </row>
    <row r="6" spans="1:15" ht="22" customHeight="1">
      <c r="A6">
        <f>IF([[#This Row],Hazard]="","",ROW()-4)</f>
        <v>0</v>
      </c>
      <c r="B6" s="7" t="s">
        <v>191</v>
      </c>
      <c r="C6" s="7" t="s">
        <v>13</v>
      </c>
      <c r="D6" s="7" t="s">
        <v>4</v>
      </c>
      <c r="E6" s="10">
        <v>4</v>
      </c>
      <c r="F6" s="10">
        <v>5</v>
      </c>
      <c r="G6">
        <f>IF(AND([[#This Row],Likelihood]&lt;&gt;"",[[#This Row],Consequence]&lt;&gt;""),[[#This Row],Likelihood]*[[#This Row],Consequence],"")</f>
        <v>0</v>
      </c>
      <c r="H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6" s="7" t="s">
        <v>192</v>
      </c>
      <c r="J6" s="10">
        <v>2</v>
      </c>
      <c r="K6" s="10">
        <v>3</v>
      </c>
      <c r="L6">
        <f>IF(AND([[#This Row],[Res. Likelihood]]&lt;&gt;"",[[#This Row],[Res. Consequence]]&lt;&gt;""),[[#This Row],[Res. Likelihood]]*[[#This Row],[Res. Consequence]],"")</f>
        <v>0</v>
      </c>
      <c r="M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6" s="7" t="s">
        <v>104</v>
      </c>
      <c r="O6" s="6">
        <v>45505</v>
      </c>
    </row>
    <row r="7" spans="1:15" ht="22" customHeight="1">
      <c r="A7">
        <f>IF([[#This Row],Hazard]="","",ROW()-4)</f>
        <v>0</v>
      </c>
      <c r="B7" s="5" t="s">
        <v>193</v>
      </c>
      <c r="C7" s="5" t="s">
        <v>16</v>
      </c>
      <c r="D7" s="5" t="s">
        <v>5</v>
      </c>
      <c r="E7" s="9">
        <v>3</v>
      </c>
      <c r="F7" s="9">
        <v>4</v>
      </c>
      <c r="G7">
        <f>IF(AND([[#This Row],Likelihood]&lt;&gt;"",[[#This Row],Consequence]&lt;&gt;""),[[#This Row],Likelihood]*[[#This Row],Consequence],"")</f>
        <v>0</v>
      </c>
      <c r="H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7" s="5" t="s">
        <v>194</v>
      </c>
      <c r="J7" s="9">
        <v>2</v>
      </c>
      <c r="K7" s="9">
        <v>2</v>
      </c>
      <c r="L7">
        <f>IF(AND([[#This Row],[Res. Likelihood]]&lt;&gt;"",[[#This Row],[Res. Consequence]]&lt;&gt;""),[[#This Row],[Res. Likelihood]]*[[#This Row],[Res. Consequence]],"")</f>
        <v>0</v>
      </c>
      <c r="M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7" s="5" t="s">
        <v>107</v>
      </c>
      <c r="O7" s="4">
        <v>45474</v>
      </c>
    </row>
    <row r="8" spans="1:15" ht="22" customHeight="1">
      <c r="A8">
        <f>IF([[#This Row],Hazard]="","",ROW()-4)</f>
        <v>0</v>
      </c>
      <c r="B8" s="7" t="s">
        <v>195</v>
      </c>
      <c r="C8" s="7" t="s">
        <v>15</v>
      </c>
      <c r="D8" s="7" t="s">
        <v>2</v>
      </c>
      <c r="E8" s="10">
        <v>3</v>
      </c>
      <c r="F8" s="10">
        <v>3</v>
      </c>
      <c r="G8">
        <f>IF(AND([[#This Row],Likelihood]&lt;&gt;"",[[#This Row],Consequence]&lt;&gt;""),[[#This Row],Likelihood]*[[#This Row],Consequence],"")</f>
        <v>0</v>
      </c>
      <c r="H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8" s="7" t="s">
        <v>196</v>
      </c>
      <c r="J8" s="10">
        <v>1</v>
      </c>
      <c r="K8" s="10">
        <v>2</v>
      </c>
      <c r="L8">
        <f>IF(AND([[#This Row],[Res. Likelihood]]&lt;&gt;"",[[#This Row],[Res. Consequence]]&lt;&gt;""),[[#This Row],[Res. Likelihood]]*[[#This Row],[Res. Consequence]],"")</f>
        <v>0</v>
      </c>
      <c r="M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8" s="7" t="s">
        <v>130</v>
      </c>
      <c r="O8" s="6">
        <v>45566</v>
      </c>
    </row>
    <row r="9" spans="1:15" ht="22" customHeight="1">
      <c r="A9">
        <f>IF([[#This Row],Hazard]="","",ROW()-4)</f>
        <v>0</v>
      </c>
      <c r="B9" s="5" t="s">
        <v>197</v>
      </c>
      <c r="C9" s="5" t="s">
        <v>14</v>
      </c>
      <c r="D9" s="5" t="s">
        <v>3</v>
      </c>
      <c r="E9" s="9">
        <v>2</v>
      </c>
      <c r="F9" s="9">
        <v>3</v>
      </c>
      <c r="G9">
        <f>IF(AND([[#This Row],Likelihood]&lt;&gt;"",[[#This Row],Consequence]&lt;&gt;""),[[#This Row],Likelihood]*[[#This Row],Consequence],"")</f>
        <v>0</v>
      </c>
      <c r="H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9" s="5" t="s">
        <v>198</v>
      </c>
      <c r="J9" s="9">
        <v>1</v>
      </c>
      <c r="K9" s="9">
        <v>2</v>
      </c>
      <c r="L9">
        <f>IF(AND([[#This Row],[Res. Likelihood]]&lt;&gt;"",[[#This Row],[Res. Consequence]]&lt;&gt;""),[[#This Row],[Res. Likelihood]]*[[#This Row],[Res. Consequence]],"")</f>
        <v>0</v>
      </c>
      <c r="M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9" s="5" t="s">
        <v>133</v>
      </c>
      <c r="O9" s="4">
        <v>45536</v>
      </c>
    </row>
    <row r="10" spans="1:15" ht="22" customHeight="1">
      <c r="A10">
        <f>IF([[#This Row],Hazard]="","",ROW()-4)</f>
        <v>0</v>
      </c>
      <c r="B10" s="7" t="s">
        <v>199</v>
      </c>
      <c r="C10" s="7" t="s">
        <v>12</v>
      </c>
      <c r="D10" s="7" t="s">
        <v>1</v>
      </c>
      <c r="E10" s="10">
        <v>3</v>
      </c>
      <c r="F10" s="10">
        <v>3</v>
      </c>
      <c r="G10">
        <f>IF(AND([[#This Row],Likelihood]&lt;&gt;"",[[#This Row],Consequence]&lt;&gt;""),[[#This Row],Likelihood]*[[#This Row],Consequence],"")</f>
        <v>0</v>
      </c>
      <c r="H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0" s="7" t="s">
        <v>200</v>
      </c>
      <c r="J10" s="10">
        <v>2</v>
      </c>
      <c r="K10" s="10">
        <v>2</v>
      </c>
      <c r="L10">
        <f>IF(AND([[#This Row],[Res. Likelihood]]&lt;&gt;"",[[#This Row],[Res. Consequence]]&lt;&gt;""),[[#This Row],[Res. Likelihood]]*[[#This Row],[Res. Consequence]],"")</f>
        <v>0</v>
      </c>
      <c r="M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0" s="7" t="s">
        <v>136</v>
      </c>
      <c r="O10" s="6">
        <v>45505</v>
      </c>
    </row>
    <row r="11" spans="1:15" ht="22" customHeight="1">
      <c r="A11">
        <f>IF([[#This Row],Hazard]="","",ROW()-4)</f>
        <v>0</v>
      </c>
      <c r="B11" s="5" t="s">
        <v>201</v>
      </c>
      <c r="C11" s="5" t="s">
        <v>13</v>
      </c>
      <c r="D11" s="5" t="s">
        <v>2</v>
      </c>
      <c r="E11" s="9">
        <v>3</v>
      </c>
      <c r="F11" s="9">
        <v>2</v>
      </c>
      <c r="G11">
        <f>IF(AND([[#This Row],Likelihood]&lt;&gt;"",[[#This Row],Consequence]&lt;&gt;""),[[#This Row],Likelihood]*[[#This Row],Consequence],"")</f>
        <v>0</v>
      </c>
      <c r="H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1" s="5" t="s">
        <v>202</v>
      </c>
      <c r="J11" s="9">
        <v>1</v>
      </c>
      <c r="K11" s="9">
        <v>2</v>
      </c>
      <c r="L11">
        <f>IF(AND([[#This Row],[Res. Likelihood]]&lt;&gt;"",[[#This Row],[Res. Consequence]]&lt;&gt;""),[[#This Row],[Res. Likelihood]]*[[#This Row],[Res. Consequence]],"")</f>
        <v>0</v>
      </c>
      <c r="M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1" s="5" t="s">
        <v>116</v>
      </c>
      <c r="O11" s="4">
        <v>45597</v>
      </c>
    </row>
    <row r="12" spans="1:15" ht="22" customHeight="1">
      <c r="A12">
        <f>IF([[#This Row],Hazard]="","",ROW()-4)</f>
        <v>0</v>
      </c>
      <c r="B12" s="7" t="s">
        <v>203</v>
      </c>
      <c r="C12" s="7" t="s">
        <v>17</v>
      </c>
      <c r="D12" s="7" t="s">
        <v>1</v>
      </c>
      <c r="E12" s="10">
        <v>4</v>
      </c>
      <c r="F12" s="10">
        <v>4</v>
      </c>
      <c r="G12">
        <f>IF(AND([[#This Row],Likelihood]&lt;&gt;"",[[#This Row],Consequence]&lt;&gt;""),[[#This Row],Likelihood]*[[#This Row],Consequence],"")</f>
        <v>0</v>
      </c>
      <c r="H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I12" s="7" t="s">
        <v>204</v>
      </c>
      <c r="J12" s="10">
        <v>2</v>
      </c>
      <c r="K12" s="10">
        <v>3</v>
      </c>
      <c r="L12">
        <f>IF(AND([[#This Row],[Res. Likelihood]]&lt;&gt;"",[[#This Row],[Res. Consequence]]&lt;&gt;""),[[#This Row],[Res. Likelihood]]*[[#This Row],[Res. Consequence]],"")</f>
        <v>0</v>
      </c>
      <c r="M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  <c r="N12" s="7" t="s">
        <v>119</v>
      </c>
      <c r="O12" s="6">
        <v>45536</v>
      </c>
    </row>
    <row r="13" spans="1:15">
      <c r="A13">
        <f>IF([[#This Row],Hazard]="","",ROW()-4)</f>
        <v>0</v>
      </c>
      <c r="G13">
        <f>IF(AND([[#This Row],Likelihood]&lt;&gt;"",[[#This Row],Consequence]&lt;&gt;""),[[#This Row],Likelihood]*[[#This Row],Consequence],"")</f>
        <v>0</v>
      </c>
      <c r="H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">
        <f>IF(AND([[#This Row],[Res. Likelihood]]&lt;&gt;"",[[#This Row],[Res. Consequence]]&lt;&gt;""),[[#This Row],[Res. Likelihood]]*[[#This Row],[Res. Consequence]],"")</f>
        <v>0</v>
      </c>
      <c r="M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" spans="1:15">
      <c r="A14">
        <f>IF([[#This Row],Hazard]="","",ROW()-4)</f>
        <v>0</v>
      </c>
      <c r="G14">
        <f>IF(AND([[#This Row],Likelihood]&lt;&gt;"",[[#This Row],Consequence]&lt;&gt;""),[[#This Row],Likelihood]*[[#This Row],Consequence],"")</f>
        <v>0</v>
      </c>
      <c r="H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">
        <f>IF(AND([[#This Row],[Res. Likelihood]]&lt;&gt;"",[[#This Row],[Res. Consequence]]&lt;&gt;""),[[#This Row],[Res. Likelihood]]*[[#This Row],[Res. Consequence]],"")</f>
        <v>0</v>
      </c>
      <c r="M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" spans="1:15">
      <c r="A15">
        <f>IF([[#This Row],Hazard]="","",ROW()-4)</f>
        <v>0</v>
      </c>
      <c r="G15">
        <f>IF(AND([[#This Row],Likelihood]&lt;&gt;"",[[#This Row],Consequence]&lt;&gt;""),[[#This Row],Likelihood]*[[#This Row],Consequence],"")</f>
        <v>0</v>
      </c>
      <c r="H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">
        <f>IF(AND([[#This Row],[Res. Likelihood]]&lt;&gt;"",[[#This Row],[Res. Consequence]]&lt;&gt;""),[[#This Row],[Res. Likelihood]]*[[#This Row],[Res. Consequence]],"")</f>
        <v>0</v>
      </c>
      <c r="M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" spans="1:15">
      <c r="A16">
        <f>IF([[#This Row],Hazard]="","",ROW()-4)</f>
        <v>0</v>
      </c>
      <c r="G16">
        <f>IF(AND([[#This Row],Likelihood]&lt;&gt;"",[[#This Row],Consequence]&lt;&gt;""),[[#This Row],Likelihood]*[[#This Row],Consequence],"")</f>
        <v>0</v>
      </c>
      <c r="H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">
        <f>IF(AND([[#This Row],[Res. Likelihood]]&lt;&gt;"",[[#This Row],[Res. Consequence]]&lt;&gt;""),[[#This Row],[Res. Likelihood]]*[[#This Row],[Res. Consequence]],"")</f>
        <v>0</v>
      </c>
      <c r="M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" spans="1:13">
      <c r="A17">
        <f>IF([[#This Row],Hazard]="","",ROW()-4)</f>
        <v>0</v>
      </c>
      <c r="G17">
        <f>IF(AND([[#This Row],Likelihood]&lt;&gt;"",[[#This Row],Consequence]&lt;&gt;""),[[#This Row],Likelihood]*[[#This Row],Consequence],"")</f>
        <v>0</v>
      </c>
      <c r="H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">
        <f>IF(AND([[#This Row],[Res. Likelihood]]&lt;&gt;"",[[#This Row],[Res. Consequence]]&lt;&gt;""),[[#This Row],[Res. Likelihood]]*[[#This Row],[Res. Consequence]],"")</f>
        <v>0</v>
      </c>
      <c r="M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" spans="1:13">
      <c r="A18">
        <f>IF([[#This Row],Hazard]="","",ROW()-4)</f>
        <v>0</v>
      </c>
      <c r="G18">
        <f>IF(AND([[#This Row],Likelihood]&lt;&gt;"",[[#This Row],Consequence]&lt;&gt;""),[[#This Row],Likelihood]*[[#This Row],Consequence],"")</f>
        <v>0</v>
      </c>
      <c r="H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">
        <f>IF(AND([[#This Row],[Res. Likelihood]]&lt;&gt;"",[[#This Row],[Res. Consequence]]&lt;&gt;""),[[#This Row],[Res. Likelihood]]*[[#This Row],[Res. Consequence]],"")</f>
        <v>0</v>
      </c>
      <c r="M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" spans="1:13">
      <c r="A19">
        <f>IF([[#This Row],Hazard]="","",ROW()-4)</f>
        <v>0</v>
      </c>
      <c r="G19">
        <f>IF(AND([[#This Row],Likelihood]&lt;&gt;"",[[#This Row],Consequence]&lt;&gt;""),[[#This Row],Likelihood]*[[#This Row],Consequence],"")</f>
        <v>0</v>
      </c>
      <c r="H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">
        <f>IF(AND([[#This Row],[Res. Likelihood]]&lt;&gt;"",[[#This Row],[Res. Consequence]]&lt;&gt;""),[[#This Row],[Res. Likelihood]]*[[#This Row],[Res. Consequence]],"")</f>
        <v>0</v>
      </c>
      <c r="M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" spans="1:13">
      <c r="A20">
        <f>IF([[#This Row],Hazard]="","",ROW()-4)</f>
        <v>0</v>
      </c>
      <c r="G20">
        <f>IF(AND([[#This Row],Likelihood]&lt;&gt;"",[[#This Row],Consequence]&lt;&gt;""),[[#This Row],Likelihood]*[[#This Row],Consequence],"")</f>
        <v>0</v>
      </c>
      <c r="H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">
        <f>IF(AND([[#This Row],[Res. Likelihood]]&lt;&gt;"",[[#This Row],[Res. Consequence]]&lt;&gt;""),[[#This Row],[Res. Likelihood]]*[[#This Row],[Res. Consequence]],"")</f>
        <v>0</v>
      </c>
      <c r="M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1" spans="1:13">
      <c r="A21">
        <f>IF([[#This Row],Hazard]="","",ROW()-4)</f>
        <v>0</v>
      </c>
      <c r="G21">
        <f>IF(AND([[#This Row],Likelihood]&lt;&gt;"",[[#This Row],Consequence]&lt;&gt;""),[[#This Row],Likelihood]*[[#This Row],Consequence],"")</f>
        <v>0</v>
      </c>
      <c r="H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1">
        <f>IF(AND([[#This Row],[Res. Likelihood]]&lt;&gt;"",[[#This Row],[Res. Consequence]]&lt;&gt;""),[[#This Row],[Res. Likelihood]]*[[#This Row],[Res. Consequence]],"")</f>
        <v>0</v>
      </c>
      <c r="M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2" spans="1:13">
      <c r="A22">
        <f>IF([[#This Row],Hazard]="","",ROW()-4)</f>
        <v>0</v>
      </c>
      <c r="G22">
        <f>IF(AND([[#This Row],Likelihood]&lt;&gt;"",[[#This Row],Consequence]&lt;&gt;""),[[#This Row],Likelihood]*[[#This Row],Consequence],"")</f>
        <v>0</v>
      </c>
      <c r="H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2">
        <f>IF(AND([[#This Row],[Res. Likelihood]]&lt;&gt;"",[[#This Row],[Res. Consequence]]&lt;&gt;""),[[#This Row],[Res. Likelihood]]*[[#This Row],[Res. Consequence]],"")</f>
        <v>0</v>
      </c>
      <c r="M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3" spans="1:13">
      <c r="A23">
        <f>IF([[#This Row],Hazard]="","",ROW()-4)</f>
        <v>0</v>
      </c>
      <c r="G23">
        <f>IF(AND([[#This Row],Likelihood]&lt;&gt;"",[[#This Row],Consequence]&lt;&gt;""),[[#This Row],Likelihood]*[[#This Row],Consequence],"")</f>
        <v>0</v>
      </c>
      <c r="H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3">
        <f>IF(AND([[#This Row],[Res. Likelihood]]&lt;&gt;"",[[#This Row],[Res. Consequence]]&lt;&gt;""),[[#This Row],[Res. Likelihood]]*[[#This Row],[Res. Consequence]],"")</f>
        <v>0</v>
      </c>
      <c r="M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4" spans="1:13">
      <c r="A24">
        <f>IF([[#This Row],Hazard]="","",ROW()-4)</f>
        <v>0</v>
      </c>
      <c r="G24">
        <f>IF(AND([[#This Row],Likelihood]&lt;&gt;"",[[#This Row],Consequence]&lt;&gt;""),[[#This Row],Likelihood]*[[#This Row],Consequence],"")</f>
        <v>0</v>
      </c>
      <c r="H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4">
        <f>IF(AND([[#This Row],[Res. Likelihood]]&lt;&gt;"",[[#This Row],[Res. Consequence]]&lt;&gt;""),[[#This Row],[Res. Likelihood]]*[[#This Row],[Res. Consequence]],"")</f>
        <v>0</v>
      </c>
      <c r="M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5" spans="1:13">
      <c r="A25">
        <f>IF([[#This Row],Hazard]="","",ROW()-4)</f>
        <v>0</v>
      </c>
      <c r="G25">
        <f>IF(AND([[#This Row],Likelihood]&lt;&gt;"",[[#This Row],Consequence]&lt;&gt;""),[[#This Row],Likelihood]*[[#This Row],Consequence],"")</f>
        <v>0</v>
      </c>
      <c r="H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5">
        <f>IF(AND([[#This Row],[Res. Likelihood]]&lt;&gt;"",[[#This Row],[Res. Consequence]]&lt;&gt;""),[[#This Row],[Res. Likelihood]]*[[#This Row],[Res. Consequence]],"")</f>
        <v>0</v>
      </c>
      <c r="M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6" spans="1:13">
      <c r="A26">
        <f>IF([[#This Row],Hazard]="","",ROW()-4)</f>
        <v>0</v>
      </c>
      <c r="G26">
        <f>IF(AND([[#This Row],Likelihood]&lt;&gt;"",[[#This Row],Consequence]&lt;&gt;""),[[#This Row],Likelihood]*[[#This Row],Consequence],"")</f>
        <v>0</v>
      </c>
      <c r="H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6">
        <f>IF(AND([[#This Row],[Res. Likelihood]]&lt;&gt;"",[[#This Row],[Res. Consequence]]&lt;&gt;""),[[#This Row],[Res. Likelihood]]*[[#This Row],[Res. Consequence]],"")</f>
        <v>0</v>
      </c>
      <c r="M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7" spans="1:13">
      <c r="A27">
        <f>IF([[#This Row],Hazard]="","",ROW()-4)</f>
        <v>0</v>
      </c>
      <c r="G27">
        <f>IF(AND([[#This Row],Likelihood]&lt;&gt;"",[[#This Row],Consequence]&lt;&gt;""),[[#This Row],Likelihood]*[[#This Row],Consequence],"")</f>
        <v>0</v>
      </c>
      <c r="H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7">
        <f>IF(AND([[#This Row],[Res. Likelihood]]&lt;&gt;"",[[#This Row],[Res. Consequence]]&lt;&gt;""),[[#This Row],[Res. Likelihood]]*[[#This Row],[Res. Consequence]],"")</f>
        <v>0</v>
      </c>
      <c r="M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8" spans="1:13">
      <c r="A28">
        <f>IF([[#This Row],Hazard]="","",ROW()-4)</f>
        <v>0</v>
      </c>
      <c r="G28">
        <f>IF(AND([[#This Row],Likelihood]&lt;&gt;"",[[#This Row],Consequence]&lt;&gt;""),[[#This Row],Likelihood]*[[#This Row],Consequence],"")</f>
        <v>0</v>
      </c>
      <c r="H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8">
        <f>IF(AND([[#This Row],[Res. Likelihood]]&lt;&gt;"",[[#This Row],[Res. Consequence]]&lt;&gt;""),[[#This Row],[Res. Likelihood]]*[[#This Row],[Res. Consequence]],"")</f>
        <v>0</v>
      </c>
      <c r="M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9" spans="1:13">
      <c r="A29">
        <f>IF([[#This Row],Hazard]="","",ROW()-4)</f>
        <v>0</v>
      </c>
      <c r="G29">
        <f>IF(AND([[#This Row],Likelihood]&lt;&gt;"",[[#This Row],Consequence]&lt;&gt;""),[[#This Row],Likelihood]*[[#This Row],Consequence],"")</f>
        <v>0</v>
      </c>
      <c r="H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9">
        <f>IF(AND([[#This Row],[Res. Likelihood]]&lt;&gt;"",[[#This Row],[Res. Consequence]]&lt;&gt;""),[[#This Row],[Res. Likelihood]]*[[#This Row],[Res. Consequence]],"")</f>
        <v>0</v>
      </c>
      <c r="M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0" spans="1:13">
      <c r="A30">
        <f>IF([[#This Row],Hazard]="","",ROW()-4)</f>
        <v>0</v>
      </c>
      <c r="G30">
        <f>IF(AND([[#This Row],Likelihood]&lt;&gt;"",[[#This Row],Consequence]&lt;&gt;""),[[#This Row],Likelihood]*[[#This Row],Consequence],"")</f>
        <v>0</v>
      </c>
      <c r="H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0">
        <f>IF(AND([[#This Row],[Res. Likelihood]]&lt;&gt;"",[[#This Row],[Res. Consequence]]&lt;&gt;""),[[#This Row],[Res. Likelihood]]*[[#This Row],[Res. Consequence]],"")</f>
        <v>0</v>
      </c>
      <c r="M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1" spans="1:13">
      <c r="A31">
        <f>IF([[#This Row],Hazard]="","",ROW()-4)</f>
        <v>0</v>
      </c>
      <c r="G31">
        <f>IF(AND([[#This Row],Likelihood]&lt;&gt;"",[[#This Row],Consequence]&lt;&gt;""),[[#This Row],Likelihood]*[[#This Row],Consequence],"")</f>
        <v>0</v>
      </c>
      <c r="H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1">
        <f>IF(AND([[#This Row],[Res. Likelihood]]&lt;&gt;"",[[#This Row],[Res. Consequence]]&lt;&gt;""),[[#This Row],[Res. Likelihood]]*[[#This Row],[Res. Consequence]],"")</f>
        <v>0</v>
      </c>
      <c r="M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2" spans="1:13">
      <c r="A32">
        <f>IF([[#This Row],Hazard]="","",ROW()-4)</f>
        <v>0</v>
      </c>
      <c r="G32">
        <f>IF(AND([[#This Row],Likelihood]&lt;&gt;"",[[#This Row],Consequence]&lt;&gt;""),[[#This Row],Likelihood]*[[#This Row],Consequence],"")</f>
        <v>0</v>
      </c>
      <c r="H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2">
        <f>IF(AND([[#This Row],[Res. Likelihood]]&lt;&gt;"",[[#This Row],[Res. Consequence]]&lt;&gt;""),[[#This Row],[Res. Likelihood]]*[[#This Row],[Res. Consequence]],"")</f>
        <v>0</v>
      </c>
      <c r="M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3" spans="1:13">
      <c r="A33">
        <f>IF([[#This Row],Hazard]="","",ROW()-4)</f>
        <v>0</v>
      </c>
      <c r="G33">
        <f>IF(AND([[#This Row],Likelihood]&lt;&gt;"",[[#This Row],Consequence]&lt;&gt;""),[[#This Row],Likelihood]*[[#This Row],Consequence],"")</f>
        <v>0</v>
      </c>
      <c r="H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3">
        <f>IF(AND([[#This Row],[Res. Likelihood]]&lt;&gt;"",[[#This Row],[Res. Consequence]]&lt;&gt;""),[[#This Row],[Res. Likelihood]]*[[#This Row],[Res. Consequence]],"")</f>
        <v>0</v>
      </c>
      <c r="M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4" spans="1:13">
      <c r="A34">
        <f>IF([[#This Row],Hazard]="","",ROW()-4)</f>
        <v>0</v>
      </c>
      <c r="G34">
        <f>IF(AND([[#This Row],Likelihood]&lt;&gt;"",[[#This Row],Consequence]&lt;&gt;""),[[#This Row],Likelihood]*[[#This Row],Consequence],"")</f>
        <v>0</v>
      </c>
      <c r="H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4">
        <f>IF(AND([[#This Row],[Res. Likelihood]]&lt;&gt;"",[[#This Row],[Res. Consequence]]&lt;&gt;""),[[#This Row],[Res. Likelihood]]*[[#This Row],[Res. Consequence]],"")</f>
        <v>0</v>
      </c>
      <c r="M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5" spans="1:13">
      <c r="A35">
        <f>IF([[#This Row],Hazard]="","",ROW()-4)</f>
        <v>0</v>
      </c>
      <c r="G35">
        <f>IF(AND([[#This Row],Likelihood]&lt;&gt;"",[[#This Row],Consequence]&lt;&gt;""),[[#This Row],Likelihood]*[[#This Row],Consequence],"")</f>
        <v>0</v>
      </c>
      <c r="H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5">
        <f>IF(AND([[#This Row],[Res. Likelihood]]&lt;&gt;"",[[#This Row],[Res. Consequence]]&lt;&gt;""),[[#This Row],[Res. Likelihood]]*[[#This Row],[Res. Consequence]],"")</f>
        <v>0</v>
      </c>
      <c r="M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6" spans="1:13">
      <c r="A36">
        <f>IF([[#This Row],Hazard]="","",ROW()-4)</f>
        <v>0</v>
      </c>
      <c r="G36">
        <f>IF(AND([[#This Row],Likelihood]&lt;&gt;"",[[#This Row],Consequence]&lt;&gt;""),[[#This Row],Likelihood]*[[#This Row],Consequence],"")</f>
        <v>0</v>
      </c>
      <c r="H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6">
        <f>IF(AND([[#This Row],[Res. Likelihood]]&lt;&gt;"",[[#This Row],[Res. Consequence]]&lt;&gt;""),[[#This Row],[Res. Likelihood]]*[[#This Row],[Res. Consequence]],"")</f>
        <v>0</v>
      </c>
      <c r="M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7" spans="1:13">
      <c r="A37">
        <f>IF([[#This Row],Hazard]="","",ROW()-4)</f>
        <v>0</v>
      </c>
      <c r="G37">
        <f>IF(AND([[#This Row],Likelihood]&lt;&gt;"",[[#This Row],Consequence]&lt;&gt;""),[[#This Row],Likelihood]*[[#This Row],Consequence],"")</f>
        <v>0</v>
      </c>
      <c r="H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7">
        <f>IF(AND([[#This Row],[Res. Likelihood]]&lt;&gt;"",[[#This Row],[Res. Consequence]]&lt;&gt;""),[[#This Row],[Res. Likelihood]]*[[#This Row],[Res. Consequence]],"")</f>
        <v>0</v>
      </c>
      <c r="M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8" spans="1:13">
      <c r="A38">
        <f>IF([[#This Row],Hazard]="","",ROW()-4)</f>
        <v>0</v>
      </c>
      <c r="G38">
        <f>IF(AND([[#This Row],Likelihood]&lt;&gt;"",[[#This Row],Consequence]&lt;&gt;""),[[#This Row],Likelihood]*[[#This Row],Consequence],"")</f>
        <v>0</v>
      </c>
      <c r="H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8">
        <f>IF(AND([[#This Row],[Res. Likelihood]]&lt;&gt;"",[[#This Row],[Res. Consequence]]&lt;&gt;""),[[#This Row],[Res. Likelihood]]*[[#This Row],[Res. Consequence]],"")</f>
        <v>0</v>
      </c>
      <c r="M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39" spans="1:13">
      <c r="A39">
        <f>IF([[#This Row],Hazard]="","",ROW()-4)</f>
        <v>0</v>
      </c>
      <c r="G39">
        <f>IF(AND([[#This Row],Likelihood]&lt;&gt;"",[[#This Row],Consequence]&lt;&gt;""),[[#This Row],Likelihood]*[[#This Row],Consequence],"")</f>
        <v>0</v>
      </c>
      <c r="H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39">
        <f>IF(AND([[#This Row],[Res. Likelihood]]&lt;&gt;"",[[#This Row],[Res. Consequence]]&lt;&gt;""),[[#This Row],[Res. Likelihood]]*[[#This Row],[Res. Consequence]],"")</f>
        <v>0</v>
      </c>
      <c r="M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0" spans="1:13">
      <c r="A40">
        <f>IF([[#This Row],Hazard]="","",ROW()-4)</f>
        <v>0</v>
      </c>
      <c r="G40">
        <f>IF(AND([[#This Row],Likelihood]&lt;&gt;"",[[#This Row],Consequence]&lt;&gt;""),[[#This Row],Likelihood]*[[#This Row],Consequence],"")</f>
        <v>0</v>
      </c>
      <c r="H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0">
        <f>IF(AND([[#This Row],[Res. Likelihood]]&lt;&gt;"",[[#This Row],[Res. Consequence]]&lt;&gt;""),[[#This Row],[Res. Likelihood]]*[[#This Row],[Res. Consequence]],"")</f>
        <v>0</v>
      </c>
      <c r="M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1" spans="1:13">
      <c r="A41">
        <f>IF([[#This Row],Hazard]="","",ROW()-4)</f>
        <v>0</v>
      </c>
      <c r="G41">
        <f>IF(AND([[#This Row],Likelihood]&lt;&gt;"",[[#This Row],Consequence]&lt;&gt;""),[[#This Row],Likelihood]*[[#This Row],Consequence],"")</f>
        <v>0</v>
      </c>
      <c r="H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1">
        <f>IF(AND([[#This Row],[Res. Likelihood]]&lt;&gt;"",[[#This Row],[Res. Consequence]]&lt;&gt;""),[[#This Row],[Res. Likelihood]]*[[#This Row],[Res. Consequence]],"")</f>
        <v>0</v>
      </c>
      <c r="M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2" spans="1:13">
      <c r="A42">
        <f>IF([[#This Row],Hazard]="","",ROW()-4)</f>
        <v>0</v>
      </c>
      <c r="G42">
        <f>IF(AND([[#This Row],Likelihood]&lt;&gt;"",[[#This Row],Consequence]&lt;&gt;""),[[#This Row],Likelihood]*[[#This Row],Consequence],"")</f>
        <v>0</v>
      </c>
      <c r="H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2">
        <f>IF(AND([[#This Row],[Res. Likelihood]]&lt;&gt;"",[[#This Row],[Res. Consequence]]&lt;&gt;""),[[#This Row],[Res. Likelihood]]*[[#This Row],[Res. Consequence]],"")</f>
        <v>0</v>
      </c>
      <c r="M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3" spans="1:13">
      <c r="A43">
        <f>IF([[#This Row],Hazard]="","",ROW()-4)</f>
        <v>0</v>
      </c>
      <c r="G43">
        <f>IF(AND([[#This Row],Likelihood]&lt;&gt;"",[[#This Row],Consequence]&lt;&gt;""),[[#This Row],Likelihood]*[[#This Row],Consequence],"")</f>
        <v>0</v>
      </c>
      <c r="H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3">
        <f>IF(AND([[#This Row],[Res. Likelihood]]&lt;&gt;"",[[#This Row],[Res. Consequence]]&lt;&gt;""),[[#This Row],[Res. Likelihood]]*[[#This Row],[Res. Consequence]],"")</f>
        <v>0</v>
      </c>
      <c r="M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4" spans="1:13">
      <c r="A44">
        <f>IF([[#This Row],Hazard]="","",ROW()-4)</f>
        <v>0</v>
      </c>
      <c r="G44">
        <f>IF(AND([[#This Row],Likelihood]&lt;&gt;"",[[#This Row],Consequence]&lt;&gt;""),[[#This Row],Likelihood]*[[#This Row],Consequence],"")</f>
        <v>0</v>
      </c>
      <c r="H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4">
        <f>IF(AND([[#This Row],[Res. Likelihood]]&lt;&gt;"",[[#This Row],[Res. Consequence]]&lt;&gt;""),[[#This Row],[Res. Likelihood]]*[[#This Row],[Res. Consequence]],"")</f>
        <v>0</v>
      </c>
      <c r="M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5" spans="1:13">
      <c r="A45">
        <f>IF([[#This Row],Hazard]="","",ROW()-4)</f>
        <v>0</v>
      </c>
      <c r="G45">
        <f>IF(AND([[#This Row],Likelihood]&lt;&gt;"",[[#This Row],Consequence]&lt;&gt;""),[[#This Row],Likelihood]*[[#This Row],Consequence],"")</f>
        <v>0</v>
      </c>
      <c r="H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5">
        <f>IF(AND([[#This Row],[Res. Likelihood]]&lt;&gt;"",[[#This Row],[Res. Consequence]]&lt;&gt;""),[[#This Row],[Res. Likelihood]]*[[#This Row],[Res. Consequence]],"")</f>
        <v>0</v>
      </c>
      <c r="M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6" spans="1:13">
      <c r="A46">
        <f>IF([[#This Row],Hazard]="","",ROW()-4)</f>
        <v>0</v>
      </c>
      <c r="G46">
        <f>IF(AND([[#This Row],Likelihood]&lt;&gt;"",[[#This Row],Consequence]&lt;&gt;""),[[#This Row],Likelihood]*[[#This Row],Consequence],"")</f>
        <v>0</v>
      </c>
      <c r="H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6">
        <f>IF(AND([[#This Row],[Res. Likelihood]]&lt;&gt;"",[[#This Row],[Res. Consequence]]&lt;&gt;""),[[#This Row],[Res. Likelihood]]*[[#This Row],[Res. Consequence]],"")</f>
        <v>0</v>
      </c>
      <c r="M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7" spans="1:13">
      <c r="A47">
        <f>IF([[#This Row],Hazard]="","",ROW()-4)</f>
        <v>0</v>
      </c>
      <c r="G47">
        <f>IF(AND([[#This Row],Likelihood]&lt;&gt;"",[[#This Row],Consequence]&lt;&gt;""),[[#This Row],Likelihood]*[[#This Row],Consequence],"")</f>
        <v>0</v>
      </c>
      <c r="H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7">
        <f>IF(AND([[#This Row],[Res. Likelihood]]&lt;&gt;"",[[#This Row],[Res. Consequence]]&lt;&gt;""),[[#This Row],[Res. Likelihood]]*[[#This Row],[Res. Consequence]],"")</f>
        <v>0</v>
      </c>
      <c r="M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8" spans="1:13">
      <c r="A48">
        <f>IF([[#This Row],Hazard]="","",ROW()-4)</f>
        <v>0</v>
      </c>
      <c r="G48">
        <f>IF(AND([[#This Row],Likelihood]&lt;&gt;"",[[#This Row],Consequence]&lt;&gt;""),[[#This Row],Likelihood]*[[#This Row],Consequence],"")</f>
        <v>0</v>
      </c>
      <c r="H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8">
        <f>IF(AND([[#This Row],[Res. Likelihood]]&lt;&gt;"",[[#This Row],[Res. Consequence]]&lt;&gt;""),[[#This Row],[Res. Likelihood]]*[[#This Row],[Res. Consequence]],"")</f>
        <v>0</v>
      </c>
      <c r="M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49" spans="1:13">
      <c r="A49">
        <f>IF([[#This Row],Hazard]="","",ROW()-4)</f>
        <v>0</v>
      </c>
      <c r="G49">
        <f>IF(AND([[#This Row],Likelihood]&lt;&gt;"",[[#This Row],Consequence]&lt;&gt;""),[[#This Row],Likelihood]*[[#This Row],Consequence],"")</f>
        <v>0</v>
      </c>
      <c r="H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49">
        <f>IF(AND([[#This Row],[Res. Likelihood]]&lt;&gt;"",[[#This Row],[Res. Consequence]]&lt;&gt;""),[[#This Row],[Res. Likelihood]]*[[#This Row],[Res. Consequence]],"")</f>
        <v>0</v>
      </c>
      <c r="M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0" spans="1:13">
      <c r="A50">
        <f>IF([[#This Row],Hazard]="","",ROW()-4)</f>
        <v>0</v>
      </c>
      <c r="G50">
        <f>IF(AND([[#This Row],Likelihood]&lt;&gt;"",[[#This Row],Consequence]&lt;&gt;""),[[#This Row],Likelihood]*[[#This Row],Consequence],"")</f>
        <v>0</v>
      </c>
      <c r="H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0">
        <f>IF(AND([[#This Row],[Res. Likelihood]]&lt;&gt;"",[[#This Row],[Res. Consequence]]&lt;&gt;""),[[#This Row],[Res. Likelihood]]*[[#This Row],[Res. Consequence]],"")</f>
        <v>0</v>
      </c>
      <c r="M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1" spans="1:13">
      <c r="A51">
        <f>IF([[#This Row],Hazard]="","",ROW()-4)</f>
        <v>0</v>
      </c>
      <c r="G51">
        <f>IF(AND([[#This Row],Likelihood]&lt;&gt;"",[[#This Row],Consequence]&lt;&gt;""),[[#This Row],Likelihood]*[[#This Row],Consequence],"")</f>
        <v>0</v>
      </c>
      <c r="H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1">
        <f>IF(AND([[#This Row],[Res. Likelihood]]&lt;&gt;"",[[#This Row],[Res. Consequence]]&lt;&gt;""),[[#This Row],[Res. Likelihood]]*[[#This Row],[Res. Consequence]],"")</f>
        <v>0</v>
      </c>
      <c r="M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2" spans="1:13">
      <c r="A52">
        <f>IF([[#This Row],Hazard]="","",ROW()-4)</f>
        <v>0</v>
      </c>
      <c r="G52">
        <f>IF(AND([[#This Row],Likelihood]&lt;&gt;"",[[#This Row],Consequence]&lt;&gt;""),[[#This Row],Likelihood]*[[#This Row],Consequence],"")</f>
        <v>0</v>
      </c>
      <c r="H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2">
        <f>IF(AND([[#This Row],[Res. Likelihood]]&lt;&gt;"",[[#This Row],[Res. Consequence]]&lt;&gt;""),[[#This Row],[Res. Likelihood]]*[[#This Row],[Res. Consequence]],"")</f>
        <v>0</v>
      </c>
      <c r="M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3" spans="1:13">
      <c r="A53">
        <f>IF([[#This Row],Hazard]="","",ROW()-4)</f>
        <v>0</v>
      </c>
      <c r="G53">
        <f>IF(AND([[#This Row],Likelihood]&lt;&gt;"",[[#This Row],Consequence]&lt;&gt;""),[[#This Row],Likelihood]*[[#This Row],Consequence],"")</f>
        <v>0</v>
      </c>
      <c r="H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3">
        <f>IF(AND([[#This Row],[Res. Likelihood]]&lt;&gt;"",[[#This Row],[Res. Consequence]]&lt;&gt;""),[[#This Row],[Res. Likelihood]]*[[#This Row],[Res. Consequence]],"")</f>
        <v>0</v>
      </c>
      <c r="M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4" spans="1:13">
      <c r="A54">
        <f>IF([[#This Row],Hazard]="","",ROW()-4)</f>
        <v>0</v>
      </c>
      <c r="G54">
        <f>IF(AND([[#This Row],Likelihood]&lt;&gt;"",[[#This Row],Consequence]&lt;&gt;""),[[#This Row],Likelihood]*[[#This Row],Consequence],"")</f>
        <v>0</v>
      </c>
      <c r="H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4">
        <f>IF(AND([[#This Row],[Res. Likelihood]]&lt;&gt;"",[[#This Row],[Res. Consequence]]&lt;&gt;""),[[#This Row],[Res. Likelihood]]*[[#This Row],[Res. Consequence]],"")</f>
        <v>0</v>
      </c>
      <c r="M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5" spans="1:13">
      <c r="A55">
        <f>IF([[#This Row],Hazard]="","",ROW()-4)</f>
        <v>0</v>
      </c>
      <c r="G55">
        <f>IF(AND([[#This Row],Likelihood]&lt;&gt;"",[[#This Row],Consequence]&lt;&gt;""),[[#This Row],Likelihood]*[[#This Row],Consequence],"")</f>
        <v>0</v>
      </c>
      <c r="H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5">
        <f>IF(AND([[#This Row],[Res. Likelihood]]&lt;&gt;"",[[#This Row],[Res. Consequence]]&lt;&gt;""),[[#This Row],[Res. Likelihood]]*[[#This Row],[Res. Consequence]],"")</f>
        <v>0</v>
      </c>
      <c r="M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6" spans="1:13">
      <c r="A56">
        <f>IF([[#This Row],Hazard]="","",ROW()-4)</f>
        <v>0</v>
      </c>
      <c r="G56">
        <f>IF(AND([[#This Row],Likelihood]&lt;&gt;"",[[#This Row],Consequence]&lt;&gt;""),[[#This Row],Likelihood]*[[#This Row],Consequence],"")</f>
        <v>0</v>
      </c>
      <c r="H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6">
        <f>IF(AND([[#This Row],[Res. Likelihood]]&lt;&gt;"",[[#This Row],[Res. Consequence]]&lt;&gt;""),[[#This Row],[Res. Likelihood]]*[[#This Row],[Res. Consequence]],"")</f>
        <v>0</v>
      </c>
      <c r="M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7" spans="1:13">
      <c r="A57">
        <f>IF([[#This Row],Hazard]="","",ROW()-4)</f>
        <v>0</v>
      </c>
      <c r="G57">
        <f>IF(AND([[#This Row],Likelihood]&lt;&gt;"",[[#This Row],Consequence]&lt;&gt;""),[[#This Row],Likelihood]*[[#This Row],Consequence],"")</f>
        <v>0</v>
      </c>
      <c r="H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7">
        <f>IF(AND([[#This Row],[Res. Likelihood]]&lt;&gt;"",[[#This Row],[Res. Consequence]]&lt;&gt;""),[[#This Row],[Res. Likelihood]]*[[#This Row],[Res. Consequence]],"")</f>
        <v>0</v>
      </c>
      <c r="M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8" spans="1:13">
      <c r="A58">
        <f>IF([[#This Row],Hazard]="","",ROW()-4)</f>
        <v>0</v>
      </c>
      <c r="G58">
        <f>IF(AND([[#This Row],Likelihood]&lt;&gt;"",[[#This Row],Consequence]&lt;&gt;""),[[#This Row],Likelihood]*[[#This Row],Consequence],"")</f>
        <v>0</v>
      </c>
      <c r="H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8">
        <f>IF(AND([[#This Row],[Res. Likelihood]]&lt;&gt;"",[[#This Row],[Res. Consequence]]&lt;&gt;""),[[#This Row],[Res. Likelihood]]*[[#This Row],[Res. Consequence]],"")</f>
        <v>0</v>
      </c>
      <c r="M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59" spans="1:13">
      <c r="A59">
        <f>IF([[#This Row],Hazard]="","",ROW()-4)</f>
        <v>0</v>
      </c>
      <c r="G59">
        <f>IF(AND([[#This Row],Likelihood]&lt;&gt;"",[[#This Row],Consequence]&lt;&gt;""),[[#This Row],Likelihood]*[[#This Row],Consequence],"")</f>
        <v>0</v>
      </c>
      <c r="H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59">
        <f>IF(AND([[#This Row],[Res. Likelihood]]&lt;&gt;"",[[#This Row],[Res. Consequence]]&lt;&gt;""),[[#This Row],[Res. Likelihood]]*[[#This Row],[Res. Consequence]],"")</f>
        <v>0</v>
      </c>
      <c r="M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0" spans="1:13">
      <c r="A60">
        <f>IF([[#This Row],Hazard]="","",ROW()-4)</f>
        <v>0</v>
      </c>
      <c r="G60">
        <f>IF(AND([[#This Row],Likelihood]&lt;&gt;"",[[#This Row],Consequence]&lt;&gt;""),[[#This Row],Likelihood]*[[#This Row],Consequence],"")</f>
        <v>0</v>
      </c>
      <c r="H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0">
        <f>IF(AND([[#This Row],[Res. Likelihood]]&lt;&gt;"",[[#This Row],[Res. Consequence]]&lt;&gt;""),[[#This Row],[Res. Likelihood]]*[[#This Row],[Res. Consequence]],"")</f>
        <v>0</v>
      </c>
      <c r="M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1" spans="1:13">
      <c r="A61">
        <f>IF([[#This Row],Hazard]="","",ROW()-4)</f>
        <v>0</v>
      </c>
      <c r="G61">
        <f>IF(AND([[#This Row],Likelihood]&lt;&gt;"",[[#This Row],Consequence]&lt;&gt;""),[[#This Row],Likelihood]*[[#This Row],Consequence],"")</f>
        <v>0</v>
      </c>
      <c r="H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1">
        <f>IF(AND([[#This Row],[Res. Likelihood]]&lt;&gt;"",[[#This Row],[Res. Consequence]]&lt;&gt;""),[[#This Row],[Res. Likelihood]]*[[#This Row],[Res. Consequence]],"")</f>
        <v>0</v>
      </c>
      <c r="M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2" spans="1:13">
      <c r="A62">
        <f>IF([[#This Row],Hazard]="","",ROW()-4)</f>
        <v>0</v>
      </c>
      <c r="G62">
        <f>IF(AND([[#This Row],Likelihood]&lt;&gt;"",[[#This Row],Consequence]&lt;&gt;""),[[#This Row],Likelihood]*[[#This Row],Consequence],"")</f>
        <v>0</v>
      </c>
      <c r="H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2">
        <f>IF(AND([[#This Row],[Res. Likelihood]]&lt;&gt;"",[[#This Row],[Res. Consequence]]&lt;&gt;""),[[#This Row],[Res. Likelihood]]*[[#This Row],[Res. Consequence]],"")</f>
        <v>0</v>
      </c>
      <c r="M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3" spans="1:13">
      <c r="A63">
        <f>IF([[#This Row],Hazard]="","",ROW()-4)</f>
        <v>0</v>
      </c>
      <c r="G63">
        <f>IF(AND([[#This Row],Likelihood]&lt;&gt;"",[[#This Row],Consequence]&lt;&gt;""),[[#This Row],Likelihood]*[[#This Row],Consequence],"")</f>
        <v>0</v>
      </c>
      <c r="H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3">
        <f>IF(AND([[#This Row],[Res. Likelihood]]&lt;&gt;"",[[#This Row],[Res. Consequence]]&lt;&gt;""),[[#This Row],[Res. Likelihood]]*[[#This Row],[Res. Consequence]],"")</f>
        <v>0</v>
      </c>
      <c r="M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4" spans="1:13">
      <c r="A64">
        <f>IF([[#This Row],Hazard]="","",ROW()-4)</f>
        <v>0</v>
      </c>
      <c r="G64">
        <f>IF(AND([[#This Row],Likelihood]&lt;&gt;"",[[#This Row],Consequence]&lt;&gt;""),[[#This Row],Likelihood]*[[#This Row],Consequence],"")</f>
        <v>0</v>
      </c>
      <c r="H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4">
        <f>IF(AND([[#This Row],[Res. Likelihood]]&lt;&gt;"",[[#This Row],[Res. Consequence]]&lt;&gt;""),[[#This Row],[Res. Likelihood]]*[[#This Row],[Res. Consequence]],"")</f>
        <v>0</v>
      </c>
      <c r="M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5" spans="1:13">
      <c r="A65">
        <f>IF([[#This Row],Hazard]="","",ROW()-4)</f>
        <v>0</v>
      </c>
      <c r="G65">
        <f>IF(AND([[#This Row],Likelihood]&lt;&gt;"",[[#This Row],Consequence]&lt;&gt;""),[[#This Row],Likelihood]*[[#This Row],Consequence],"")</f>
        <v>0</v>
      </c>
      <c r="H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5">
        <f>IF(AND([[#This Row],[Res. Likelihood]]&lt;&gt;"",[[#This Row],[Res. Consequence]]&lt;&gt;""),[[#This Row],[Res. Likelihood]]*[[#This Row],[Res. Consequence]],"")</f>
        <v>0</v>
      </c>
      <c r="M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6" spans="1:13">
      <c r="A66">
        <f>IF([[#This Row],Hazard]="","",ROW()-4)</f>
        <v>0</v>
      </c>
      <c r="G66">
        <f>IF(AND([[#This Row],Likelihood]&lt;&gt;"",[[#This Row],Consequence]&lt;&gt;""),[[#This Row],Likelihood]*[[#This Row],Consequence],"")</f>
        <v>0</v>
      </c>
      <c r="H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6">
        <f>IF(AND([[#This Row],[Res. Likelihood]]&lt;&gt;"",[[#This Row],[Res. Consequence]]&lt;&gt;""),[[#This Row],[Res. Likelihood]]*[[#This Row],[Res. Consequence]],"")</f>
        <v>0</v>
      </c>
      <c r="M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7" spans="1:13">
      <c r="A67">
        <f>IF([[#This Row],Hazard]="","",ROW()-4)</f>
        <v>0</v>
      </c>
      <c r="G67">
        <f>IF(AND([[#This Row],Likelihood]&lt;&gt;"",[[#This Row],Consequence]&lt;&gt;""),[[#This Row],Likelihood]*[[#This Row],Consequence],"")</f>
        <v>0</v>
      </c>
      <c r="H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7">
        <f>IF(AND([[#This Row],[Res. Likelihood]]&lt;&gt;"",[[#This Row],[Res. Consequence]]&lt;&gt;""),[[#This Row],[Res. Likelihood]]*[[#This Row],[Res. Consequence]],"")</f>
        <v>0</v>
      </c>
      <c r="M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8" spans="1:13">
      <c r="A68">
        <f>IF([[#This Row],Hazard]="","",ROW()-4)</f>
        <v>0</v>
      </c>
      <c r="G68">
        <f>IF(AND([[#This Row],Likelihood]&lt;&gt;"",[[#This Row],Consequence]&lt;&gt;""),[[#This Row],Likelihood]*[[#This Row],Consequence],"")</f>
        <v>0</v>
      </c>
      <c r="H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8">
        <f>IF(AND([[#This Row],[Res. Likelihood]]&lt;&gt;"",[[#This Row],[Res. Consequence]]&lt;&gt;""),[[#This Row],[Res. Likelihood]]*[[#This Row],[Res. Consequence]],"")</f>
        <v>0</v>
      </c>
      <c r="M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69" spans="1:13">
      <c r="A69">
        <f>IF([[#This Row],Hazard]="","",ROW()-4)</f>
        <v>0</v>
      </c>
      <c r="G69">
        <f>IF(AND([[#This Row],Likelihood]&lt;&gt;"",[[#This Row],Consequence]&lt;&gt;""),[[#This Row],Likelihood]*[[#This Row],Consequence],"")</f>
        <v>0</v>
      </c>
      <c r="H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69">
        <f>IF(AND([[#This Row],[Res. Likelihood]]&lt;&gt;"",[[#This Row],[Res. Consequence]]&lt;&gt;""),[[#This Row],[Res. Likelihood]]*[[#This Row],[Res. Consequence]],"")</f>
        <v>0</v>
      </c>
      <c r="M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0" spans="1:13">
      <c r="A70">
        <f>IF([[#This Row],Hazard]="","",ROW()-4)</f>
        <v>0</v>
      </c>
      <c r="G70">
        <f>IF(AND([[#This Row],Likelihood]&lt;&gt;"",[[#This Row],Consequence]&lt;&gt;""),[[#This Row],Likelihood]*[[#This Row],Consequence],"")</f>
        <v>0</v>
      </c>
      <c r="H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0">
        <f>IF(AND([[#This Row],[Res. Likelihood]]&lt;&gt;"",[[#This Row],[Res. Consequence]]&lt;&gt;""),[[#This Row],[Res. Likelihood]]*[[#This Row],[Res. Consequence]],"")</f>
        <v>0</v>
      </c>
      <c r="M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1" spans="1:13">
      <c r="A71">
        <f>IF([[#This Row],Hazard]="","",ROW()-4)</f>
        <v>0</v>
      </c>
      <c r="G71">
        <f>IF(AND([[#This Row],Likelihood]&lt;&gt;"",[[#This Row],Consequence]&lt;&gt;""),[[#This Row],Likelihood]*[[#This Row],Consequence],"")</f>
        <v>0</v>
      </c>
      <c r="H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1">
        <f>IF(AND([[#This Row],[Res. Likelihood]]&lt;&gt;"",[[#This Row],[Res. Consequence]]&lt;&gt;""),[[#This Row],[Res. Likelihood]]*[[#This Row],[Res. Consequence]],"")</f>
        <v>0</v>
      </c>
      <c r="M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2" spans="1:13">
      <c r="A72">
        <f>IF([[#This Row],Hazard]="","",ROW()-4)</f>
        <v>0</v>
      </c>
      <c r="G72">
        <f>IF(AND([[#This Row],Likelihood]&lt;&gt;"",[[#This Row],Consequence]&lt;&gt;""),[[#This Row],Likelihood]*[[#This Row],Consequence],"")</f>
        <v>0</v>
      </c>
      <c r="H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2">
        <f>IF(AND([[#This Row],[Res. Likelihood]]&lt;&gt;"",[[#This Row],[Res. Consequence]]&lt;&gt;""),[[#This Row],[Res. Likelihood]]*[[#This Row],[Res. Consequence]],"")</f>
        <v>0</v>
      </c>
      <c r="M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3" spans="1:13">
      <c r="A73">
        <f>IF([[#This Row],Hazard]="","",ROW()-4)</f>
        <v>0</v>
      </c>
      <c r="G73">
        <f>IF(AND([[#This Row],Likelihood]&lt;&gt;"",[[#This Row],Consequence]&lt;&gt;""),[[#This Row],Likelihood]*[[#This Row],Consequence],"")</f>
        <v>0</v>
      </c>
      <c r="H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3">
        <f>IF(AND([[#This Row],[Res. Likelihood]]&lt;&gt;"",[[#This Row],[Res. Consequence]]&lt;&gt;""),[[#This Row],[Res. Likelihood]]*[[#This Row],[Res. Consequence]],"")</f>
        <v>0</v>
      </c>
      <c r="M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4" spans="1:13">
      <c r="A74">
        <f>IF([[#This Row],Hazard]="","",ROW()-4)</f>
        <v>0</v>
      </c>
      <c r="G74">
        <f>IF(AND([[#This Row],Likelihood]&lt;&gt;"",[[#This Row],Consequence]&lt;&gt;""),[[#This Row],Likelihood]*[[#This Row],Consequence],"")</f>
        <v>0</v>
      </c>
      <c r="H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4">
        <f>IF(AND([[#This Row],[Res. Likelihood]]&lt;&gt;"",[[#This Row],[Res. Consequence]]&lt;&gt;""),[[#This Row],[Res. Likelihood]]*[[#This Row],[Res. Consequence]],"")</f>
        <v>0</v>
      </c>
      <c r="M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5" spans="1:13">
      <c r="A75">
        <f>IF([[#This Row],Hazard]="","",ROW()-4)</f>
        <v>0</v>
      </c>
      <c r="G75">
        <f>IF(AND([[#This Row],Likelihood]&lt;&gt;"",[[#This Row],Consequence]&lt;&gt;""),[[#This Row],Likelihood]*[[#This Row],Consequence],"")</f>
        <v>0</v>
      </c>
      <c r="H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5">
        <f>IF(AND([[#This Row],[Res. Likelihood]]&lt;&gt;"",[[#This Row],[Res. Consequence]]&lt;&gt;""),[[#This Row],[Res. Likelihood]]*[[#This Row],[Res. Consequence]],"")</f>
        <v>0</v>
      </c>
      <c r="M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6" spans="1:13">
      <c r="A76">
        <f>IF([[#This Row],Hazard]="","",ROW()-4)</f>
        <v>0</v>
      </c>
      <c r="G76">
        <f>IF(AND([[#This Row],Likelihood]&lt;&gt;"",[[#This Row],Consequence]&lt;&gt;""),[[#This Row],Likelihood]*[[#This Row],Consequence],"")</f>
        <v>0</v>
      </c>
      <c r="H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6">
        <f>IF(AND([[#This Row],[Res. Likelihood]]&lt;&gt;"",[[#This Row],[Res. Consequence]]&lt;&gt;""),[[#This Row],[Res. Likelihood]]*[[#This Row],[Res. Consequence]],"")</f>
        <v>0</v>
      </c>
      <c r="M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7" spans="1:13">
      <c r="A77">
        <f>IF([[#This Row],Hazard]="","",ROW()-4)</f>
        <v>0</v>
      </c>
      <c r="G77">
        <f>IF(AND([[#This Row],Likelihood]&lt;&gt;"",[[#This Row],Consequence]&lt;&gt;""),[[#This Row],Likelihood]*[[#This Row],Consequence],"")</f>
        <v>0</v>
      </c>
      <c r="H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7">
        <f>IF(AND([[#This Row],[Res. Likelihood]]&lt;&gt;"",[[#This Row],[Res. Consequence]]&lt;&gt;""),[[#This Row],[Res. Likelihood]]*[[#This Row],[Res. Consequence]],"")</f>
        <v>0</v>
      </c>
      <c r="M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8" spans="1:13">
      <c r="A78">
        <f>IF([[#This Row],Hazard]="","",ROW()-4)</f>
        <v>0</v>
      </c>
      <c r="G78">
        <f>IF(AND([[#This Row],Likelihood]&lt;&gt;"",[[#This Row],Consequence]&lt;&gt;""),[[#This Row],Likelihood]*[[#This Row],Consequence],"")</f>
        <v>0</v>
      </c>
      <c r="H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8">
        <f>IF(AND([[#This Row],[Res. Likelihood]]&lt;&gt;"",[[#This Row],[Res. Consequence]]&lt;&gt;""),[[#This Row],[Res. Likelihood]]*[[#This Row],[Res. Consequence]],"")</f>
        <v>0</v>
      </c>
      <c r="M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79" spans="1:13">
      <c r="A79">
        <f>IF([[#This Row],Hazard]="","",ROW()-4)</f>
        <v>0</v>
      </c>
      <c r="G79">
        <f>IF(AND([[#This Row],Likelihood]&lt;&gt;"",[[#This Row],Consequence]&lt;&gt;""),[[#This Row],Likelihood]*[[#This Row],Consequence],"")</f>
        <v>0</v>
      </c>
      <c r="H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79">
        <f>IF(AND([[#This Row],[Res. Likelihood]]&lt;&gt;"",[[#This Row],[Res. Consequence]]&lt;&gt;""),[[#This Row],[Res. Likelihood]]*[[#This Row],[Res. Consequence]],"")</f>
        <v>0</v>
      </c>
      <c r="M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0" spans="1:13">
      <c r="A80">
        <f>IF([[#This Row],Hazard]="","",ROW()-4)</f>
        <v>0</v>
      </c>
      <c r="G80">
        <f>IF(AND([[#This Row],Likelihood]&lt;&gt;"",[[#This Row],Consequence]&lt;&gt;""),[[#This Row],Likelihood]*[[#This Row],Consequence],"")</f>
        <v>0</v>
      </c>
      <c r="H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0">
        <f>IF(AND([[#This Row],[Res. Likelihood]]&lt;&gt;"",[[#This Row],[Res. Consequence]]&lt;&gt;""),[[#This Row],[Res. Likelihood]]*[[#This Row],[Res. Consequence]],"")</f>
        <v>0</v>
      </c>
      <c r="M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1" spans="1:13">
      <c r="A81">
        <f>IF([[#This Row],Hazard]="","",ROW()-4)</f>
        <v>0</v>
      </c>
      <c r="G81">
        <f>IF(AND([[#This Row],Likelihood]&lt;&gt;"",[[#This Row],Consequence]&lt;&gt;""),[[#This Row],Likelihood]*[[#This Row],Consequence],"")</f>
        <v>0</v>
      </c>
      <c r="H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1">
        <f>IF(AND([[#This Row],[Res. Likelihood]]&lt;&gt;"",[[#This Row],[Res. Consequence]]&lt;&gt;""),[[#This Row],[Res. Likelihood]]*[[#This Row],[Res. Consequence]],"")</f>
        <v>0</v>
      </c>
      <c r="M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2" spans="1:13">
      <c r="A82">
        <f>IF([[#This Row],Hazard]="","",ROW()-4)</f>
        <v>0</v>
      </c>
      <c r="G82">
        <f>IF(AND([[#This Row],Likelihood]&lt;&gt;"",[[#This Row],Consequence]&lt;&gt;""),[[#This Row],Likelihood]*[[#This Row],Consequence],"")</f>
        <v>0</v>
      </c>
      <c r="H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2">
        <f>IF(AND([[#This Row],[Res. Likelihood]]&lt;&gt;"",[[#This Row],[Res. Consequence]]&lt;&gt;""),[[#This Row],[Res. Likelihood]]*[[#This Row],[Res. Consequence]],"")</f>
        <v>0</v>
      </c>
      <c r="M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3" spans="1:13">
      <c r="A83">
        <f>IF([[#This Row],Hazard]="","",ROW()-4)</f>
        <v>0</v>
      </c>
      <c r="G83">
        <f>IF(AND([[#This Row],Likelihood]&lt;&gt;"",[[#This Row],Consequence]&lt;&gt;""),[[#This Row],Likelihood]*[[#This Row],Consequence],"")</f>
        <v>0</v>
      </c>
      <c r="H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3">
        <f>IF(AND([[#This Row],[Res. Likelihood]]&lt;&gt;"",[[#This Row],[Res. Consequence]]&lt;&gt;""),[[#This Row],[Res. Likelihood]]*[[#This Row],[Res. Consequence]],"")</f>
        <v>0</v>
      </c>
      <c r="M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4" spans="1:13">
      <c r="A84">
        <f>IF([[#This Row],Hazard]="","",ROW()-4)</f>
        <v>0</v>
      </c>
      <c r="G84">
        <f>IF(AND([[#This Row],Likelihood]&lt;&gt;"",[[#This Row],Consequence]&lt;&gt;""),[[#This Row],Likelihood]*[[#This Row],Consequence],"")</f>
        <v>0</v>
      </c>
      <c r="H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4">
        <f>IF(AND([[#This Row],[Res. Likelihood]]&lt;&gt;"",[[#This Row],[Res. Consequence]]&lt;&gt;""),[[#This Row],[Res. Likelihood]]*[[#This Row],[Res. Consequence]],"")</f>
        <v>0</v>
      </c>
      <c r="M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5" spans="1:13">
      <c r="A85">
        <f>IF([[#This Row],Hazard]="","",ROW()-4)</f>
        <v>0</v>
      </c>
      <c r="G85">
        <f>IF(AND([[#This Row],Likelihood]&lt;&gt;"",[[#This Row],Consequence]&lt;&gt;""),[[#This Row],Likelihood]*[[#This Row],Consequence],"")</f>
        <v>0</v>
      </c>
      <c r="H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5">
        <f>IF(AND([[#This Row],[Res. Likelihood]]&lt;&gt;"",[[#This Row],[Res. Consequence]]&lt;&gt;""),[[#This Row],[Res. Likelihood]]*[[#This Row],[Res. Consequence]],"")</f>
        <v>0</v>
      </c>
      <c r="M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6" spans="1:13">
      <c r="A86">
        <f>IF([[#This Row],Hazard]="","",ROW()-4)</f>
        <v>0</v>
      </c>
      <c r="G86">
        <f>IF(AND([[#This Row],Likelihood]&lt;&gt;"",[[#This Row],Consequence]&lt;&gt;""),[[#This Row],Likelihood]*[[#This Row],Consequence],"")</f>
        <v>0</v>
      </c>
      <c r="H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6">
        <f>IF(AND([[#This Row],[Res. Likelihood]]&lt;&gt;"",[[#This Row],[Res. Consequence]]&lt;&gt;""),[[#This Row],[Res. Likelihood]]*[[#This Row],[Res. Consequence]],"")</f>
        <v>0</v>
      </c>
      <c r="M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7" spans="1:13">
      <c r="A87">
        <f>IF([[#This Row],Hazard]="","",ROW()-4)</f>
        <v>0</v>
      </c>
      <c r="G87">
        <f>IF(AND([[#This Row],Likelihood]&lt;&gt;"",[[#This Row],Consequence]&lt;&gt;""),[[#This Row],Likelihood]*[[#This Row],Consequence],"")</f>
        <v>0</v>
      </c>
      <c r="H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7">
        <f>IF(AND([[#This Row],[Res. Likelihood]]&lt;&gt;"",[[#This Row],[Res. Consequence]]&lt;&gt;""),[[#This Row],[Res. Likelihood]]*[[#This Row],[Res. Consequence]],"")</f>
        <v>0</v>
      </c>
      <c r="M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8" spans="1:13">
      <c r="A88">
        <f>IF([[#This Row],Hazard]="","",ROW()-4)</f>
        <v>0</v>
      </c>
      <c r="G88">
        <f>IF(AND([[#This Row],Likelihood]&lt;&gt;"",[[#This Row],Consequence]&lt;&gt;""),[[#This Row],Likelihood]*[[#This Row],Consequence],"")</f>
        <v>0</v>
      </c>
      <c r="H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8">
        <f>IF(AND([[#This Row],[Res. Likelihood]]&lt;&gt;"",[[#This Row],[Res. Consequence]]&lt;&gt;""),[[#This Row],[Res. Likelihood]]*[[#This Row],[Res. Consequence]],"")</f>
        <v>0</v>
      </c>
      <c r="M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89" spans="1:13">
      <c r="A89">
        <f>IF([[#This Row],Hazard]="","",ROW()-4)</f>
        <v>0</v>
      </c>
      <c r="G89">
        <f>IF(AND([[#This Row],Likelihood]&lt;&gt;"",[[#This Row],Consequence]&lt;&gt;""),[[#This Row],Likelihood]*[[#This Row],Consequence],"")</f>
        <v>0</v>
      </c>
      <c r="H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89">
        <f>IF(AND([[#This Row],[Res. Likelihood]]&lt;&gt;"",[[#This Row],[Res. Consequence]]&lt;&gt;""),[[#This Row],[Res. Likelihood]]*[[#This Row],[Res. Consequence]],"")</f>
        <v>0</v>
      </c>
      <c r="M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0" spans="1:13">
      <c r="A90">
        <f>IF([[#This Row],Hazard]="","",ROW()-4)</f>
        <v>0</v>
      </c>
      <c r="G90">
        <f>IF(AND([[#This Row],Likelihood]&lt;&gt;"",[[#This Row],Consequence]&lt;&gt;""),[[#This Row],Likelihood]*[[#This Row],Consequence],"")</f>
        <v>0</v>
      </c>
      <c r="H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0">
        <f>IF(AND([[#This Row],[Res. Likelihood]]&lt;&gt;"",[[#This Row],[Res. Consequence]]&lt;&gt;""),[[#This Row],[Res. Likelihood]]*[[#This Row],[Res. Consequence]],"")</f>
        <v>0</v>
      </c>
      <c r="M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1" spans="1:13">
      <c r="A91">
        <f>IF([[#This Row],Hazard]="","",ROW()-4)</f>
        <v>0</v>
      </c>
      <c r="G91">
        <f>IF(AND([[#This Row],Likelihood]&lt;&gt;"",[[#This Row],Consequence]&lt;&gt;""),[[#This Row],Likelihood]*[[#This Row],Consequence],"")</f>
        <v>0</v>
      </c>
      <c r="H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1">
        <f>IF(AND([[#This Row],[Res. Likelihood]]&lt;&gt;"",[[#This Row],[Res. Consequence]]&lt;&gt;""),[[#This Row],[Res. Likelihood]]*[[#This Row],[Res. Consequence]],"")</f>
        <v>0</v>
      </c>
      <c r="M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2" spans="1:13">
      <c r="A92">
        <f>IF([[#This Row],Hazard]="","",ROW()-4)</f>
        <v>0</v>
      </c>
      <c r="G92">
        <f>IF(AND([[#This Row],Likelihood]&lt;&gt;"",[[#This Row],Consequence]&lt;&gt;""),[[#This Row],Likelihood]*[[#This Row],Consequence],"")</f>
        <v>0</v>
      </c>
      <c r="H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2">
        <f>IF(AND([[#This Row],[Res. Likelihood]]&lt;&gt;"",[[#This Row],[Res. Consequence]]&lt;&gt;""),[[#This Row],[Res. Likelihood]]*[[#This Row],[Res. Consequence]],"")</f>
        <v>0</v>
      </c>
      <c r="M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3" spans="1:13">
      <c r="A93">
        <f>IF([[#This Row],Hazard]="","",ROW()-4)</f>
        <v>0</v>
      </c>
      <c r="G93">
        <f>IF(AND([[#This Row],Likelihood]&lt;&gt;"",[[#This Row],Consequence]&lt;&gt;""),[[#This Row],Likelihood]*[[#This Row],Consequence],"")</f>
        <v>0</v>
      </c>
      <c r="H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3">
        <f>IF(AND([[#This Row],[Res. Likelihood]]&lt;&gt;"",[[#This Row],[Res. Consequence]]&lt;&gt;""),[[#This Row],[Res. Likelihood]]*[[#This Row],[Res. Consequence]],"")</f>
        <v>0</v>
      </c>
      <c r="M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4" spans="1:13">
      <c r="A94">
        <f>IF([[#This Row],Hazard]="","",ROW()-4)</f>
        <v>0</v>
      </c>
      <c r="G94">
        <f>IF(AND([[#This Row],Likelihood]&lt;&gt;"",[[#This Row],Consequence]&lt;&gt;""),[[#This Row],Likelihood]*[[#This Row],Consequence],"")</f>
        <v>0</v>
      </c>
      <c r="H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4">
        <f>IF(AND([[#This Row],[Res. Likelihood]]&lt;&gt;"",[[#This Row],[Res. Consequence]]&lt;&gt;""),[[#This Row],[Res. Likelihood]]*[[#This Row],[Res. Consequence]],"")</f>
        <v>0</v>
      </c>
      <c r="M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5" spans="1:13">
      <c r="A95">
        <f>IF([[#This Row],Hazard]="","",ROW()-4)</f>
        <v>0</v>
      </c>
      <c r="G95">
        <f>IF(AND([[#This Row],Likelihood]&lt;&gt;"",[[#This Row],Consequence]&lt;&gt;""),[[#This Row],Likelihood]*[[#This Row],Consequence],"")</f>
        <v>0</v>
      </c>
      <c r="H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5">
        <f>IF(AND([[#This Row],[Res. Likelihood]]&lt;&gt;"",[[#This Row],[Res. Consequence]]&lt;&gt;""),[[#This Row],[Res. Likelihood]]*[[#This Row],[Res. Consequence]],"")</f>
        <v>0</v>
      </c>
      <c r="M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6" spans="1:13">
      <c r="A96">
        <f>IF([[#This Row],Hazard]="","",ROW()-4)</f>
        <v>0</v>
      </c>
      <c r="G96">
        <f>IF(AND([[#This Row],Likelihood]&lt;&gt;"",[[#This Row],Consequence]&lt;&gt;""),[[#This Row],Likelihood]*[[#This Row],Consequence],"")</f>
        <v>0</v>
      </c>
      <c r="H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6">
        <f>IF(AND([[#This Row],[Res. Likelihood]]&lt;&gt;"",[[#This Row],[Res. Consequence]]&lt;&gt;""),[[#This Row],[Res. Likelihood]]*[[#This Row],[Res. Consequence]],"")</f>
        <v>0</v>
      </c>
      <c r="M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7" spans="1:13">
      <c r="A97">
        <f>IF([[#This Row],Hazard]="","",ROW()-4)</f>
        <v>0</v>
      </c>
      <c r="G97">
        <f>IF(AND([[#This Row],Likelihood]&lt;&gt;"",[[#This Row],Consequence]&lt;&gt;""),[[#This Row],Likelihood]*[[#This Row],Consequence],"")</f>
        <v>0</v>
      </c>
      <c r="H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7">
        <f>IF(AND([[#This Row],[Res. Likelihood]]&lt;&gt;"",[[#This Row],[Res. Consequence]]&lt;&gt;""),[[#This Row],[Res. Likelihood]]*[[#This Row],[Res. Consequence]],"")</f>
        <v>0</v>
      </c>
      <c r="M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8" spans="1:13">
      <c r="A98">
        <f>IF([[#This Row],Hazard]="","",ROW()-4)</f>
        <v>0</v>
      </c>
      <c r="G98">
        <f>IF(AND([[#This Row],Likelihood]&lt;&gt;"",[[#This Row],Consequence]&lt;&gt;""),[[#This Row],Likelihood]*[[#This Row],Consequence],"")</f>
        <v>0</v>
      </c>
      <c r="H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8">
        <f>IF(AND([[#This Row],[Res. Likelihood]]&lt;&gt;"",[[#This Row],[Res. Consequence]]&lt;&gt;""),[[#This Row],[Res. Likelihood]]*[[#This Row],[Res. Consequence]],"")</f>
        <v>0</v>
      </c>
      <c r="M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99" spans="1:13">
      <c r="A99">
        <f>IF([[#This Row],Hazard]="","",ROW()-4)</f>
        <v>0</v>
      </c>
      <c r="G99">
        <f>IF(AND([[#This Row],Likelihood]&lt;&gt;"",[[#This Row],Consequence]&lt;&gt;""),[[#This Row],Likelihood]*[[#This Row],Consequence],"")</f>
        <v>0</v>
      </c>
      <c r="H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99">
        <f>IF(AND([[#This Row],[Res. Likelihood]]&lt;&gt;"",[[#This Row],[Res. Consequence]]&lt;&gt;""),[[#This Row],[Res. Likelihood]]*[[#This Row],[Res. Consequence]],"")</f>
        <v>0</v>
      </c>
      <c r="M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0" spans="1:13">
      <c r="A100">
        <f>IF([[#This Row],Hazard]="","",ROW()-4)</f>
        <v>0</v>
      </c>
      <c r="G100">
        <f>IF(AND([[#This Row],Likelihood]&lt;&gt;"",[[#This Row],Consequence]&lt;&gt;""),[[#This Row],Likelihood]*[[#This Row],Consequence],"")</f>
        <v>0</v>
      </c>
      <c r="H1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0">
        <f>IF(AND([[#This Row],[Res. Likelihood]]&lt;&gt;"",[[#This Row],[Res. Consequence]]&lt;&gt;""),[[#This Row],[Res. Likelihood]]*[[#This Row],[Res. Consequence]],"")</f>
        <v>0</v>
      </c>
      <c r="M1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1" spans="1:13">
      <c r="A101">
        <f>IF([[#This Row],Hazard]="","",ROW()-4)</f>
        <v>0</v>
      </c>
      <c r="G101">
        <f>IF(AND([[#This Row],Likelihood]&lt;&gt;"",[[#This Row],Consequence]&lt;&gt;""),[[#This Row],Likelihood]*[[#This Row],Consequence],"")</f>
        <v>0</v>
      </c>
      <c r="H1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1">
        <f>IF(AND([[#This Row],[Res. Likelihood]]&lt;&gt;"",[[#This Row],[Res. Consequence]]&lt;&gt;""),[[#This Row],[Res. Likelihood]]*[[#This Row],[Res. Consequence]],"")</f>
        <v>0</v>
      </c>
      <c r="M1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2" spans="1:13">
      <c r="A102">
        <f>IF([[#This Row],Hazard]="","",ROW()-4)</f>
        <v>0</v>
      </c>
      <c r="G102">
        <f>IF(AND([[#This Row],Likelihood]&lt;&gt;"",[[#This Row],Consequence]&lt;&gt;""),[[#This Row],Likelihood]*[[#This Row],Consequence],"")</f>
        <v>0</v>
      </c>
      <c r="H1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2">
        <f>IF(AND([[#This Row],[Res. Likelihood]]&lt;&gt;"",[[#This Row],[Res. Consequence]]&lt;&gt;""),[[#This Row],[Res. Likelihood]]*[[#This Row],[Res. Consequence]],"")</f>
        <v>0</v>
      </c>
      <c r="M1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3" spans="1:13">
      <c r="A103">
        <f>IF([[#This Row],Hazard]="","",ROW()-4)</f>
        <v>0</v>
      </c>
      <c r="G103">
        <f>IF(AND([[#This Row],Likelihood]&lt;&gt;"",[[#This Row],Consequence]&lt;&gt;""),[[#This Row],Likelihood]*[[#This Row],Consequence],"")</f>
        <v>0</v>
      </c>
      <c r="H1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3">
        <f>IF(AND([[#This Row],[Res. Likelihood]]&lt;&gt;"",[[#This Row],[Res. Consequence]]&lt;&gt;""),[[#This Row],[Res. Likelihood]]*[[#This Row],[Res. Consequence]],"")</f>
        <v>0</v>
      </c>
      <c r="M1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4" spans="1:13">
      <c r="A104">
        <f>IF([[#This Row],Hazard]="","",ROW()-4)</f>
        <v>0</v>
      </c>
      <c r="G104">
        <f>IF(AND([[#This Row],Likelihood]&lt;&gt;"",[[#This Row],Consequence]&lt;&gt;""),[[#This Row],Likelihood]*[[#This Row],Consequence],"")</f>
        <v>0</v>
      </c>
      <c r="H1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4">
        <f>IF(AND([[#This Row],[Res. Likelihood]]&lt;&gt;"",[[#This Row],[Res. Consequence]]&lt;&gt;""),[[#This Row],[Res. Likelihood]]*[[#This Row],[Res. Consequence]],"")</f>
        <v>0</v>
      </c>
      <c r="M1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5" spans="1:13">
      <c r="A105">
        <f>IF([[#This Row],Hazard]="","",ROW()-4)</f>
        <v>0</v>
      </c>
      <c r="G105">
        <f>IF(AND([[#This Row],Likelihood]&lt;&gt;"",[[#This Row],Consequence]&lt;&gt;""),[[#This Row],Likelihood]*[[#This Row],Consequence],"")</f>
        <v>0</v>
      </c>
      <c r="H10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5">
        <f>IF(AND([[#This Row],[Res. Likelihood]]&lt;&gt;"",[[#This Row],[Res. Consequence]]&lt;&gt;""),[[#This Row],[Res. Likelihood]]*[[#This Row],[Res. Consequence]],"")</f>
        <v>0</v>
      </c>
      <c r="M10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6" spans="1:13">
      <c r="A106">
        <f>IF([[#This Row],Hazard]="","",ROW()-4)</f>
        <v>0</v>
      </c>
      <c r="G106">
        <f>IF(AND([[#This Row],Likelihood]&lt;&gt;"",[[#This Row],Consequence]&lt;&gt;""),[[#This Row],Likelihood]*[[#This Row],Consequence],"")</f>
        <v>0</v>
      </c>
      <c r="H10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6">
        <f>IF(AND([[#This Row],[Res. Likelihood]]&lt;&gt;"",[[#This Row],[Res. Consequence]]&lt;&gt;""),[[#This Row],[Res. Likelihood]]*[[#This Row],[Res. Consequence]],"")</f>
        <v>0</v>
      </c>
      <c r="M10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7" spans="1:13">
      <c r="A107">
        <f>IF([[#This Row],Hazard]="","",ROW()-4)</f>
        <v>0</v>
      </c>
      <c r="G107">
        <f>IF(AND([[#This Row],Likelihood]&lt;&gt;"",[[#This Row],Consequence]&lt;&gt;""),[[#This Row],Likelihood]*[[#This Row],Consequence],"")</f>
        <v>0</v>
      </c>
      <c r="H10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7">
        <f>IF(AND([[#This Row],[Res. Likelihood]]&lt;&gt;"",[[#This Row],[Res. Consequence]]&lt;&gt;""),[[#This Row],[Res. Likelihood]]*[[#This Row],[Res. Consequence]],"")</f>
        <v>0</v>
      </c>
      <c r="M10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8" spans="1:13">
      <c r="A108">
        <f>IF([[#This Row],Hazard]="","",ROW()-4)</f>
        <v>0</v>
      </c>
      <c r="G108">
        <f>IF(AND([[#This Row],Likelihood]&lt;&gt;"",[[#This Row],Consequence]&lt;&gt;""),[[#This Row],Likelihood]*[[#This Row],Consequence],"")</f>
        <v>0</v>
      </c>
      <c r="H10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8">
        <f>IF(AND([[#This Row],[Res. Likelihood]]&lt;&gt;"",[[#This Row],[Res. Consequence]]&lt;&gt;""),[[#This Row],[Res. Likelihood]]*[[#This Row],[Res. Consequence]],"")</f>
        <v>0</v>
      </c>
      <c r="M10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09" spans="1:13">
      <c r="A109">
        <f>IF([[#This Row],Hazard]="","",ROW()-4)</f>
        <v>0</v>
      </c>
      <c r="G109">
        <f>IF(AND([[#This Row],Likelihood]&lt;&gt;"",[[#This Row],Consequence]&lt;&gt;""),[[#This Row],Likelihood]*[[#This Row],Consequence],"")</f>
        <v>0</v>
      </c>
      <c r="H10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09">
        <f>IF(AND([[#This Row],[Res. Likelihood]]&lt;&gt;"",[[#This Row],[Res. Consequence]]&lt;&gt;""),[[#This Row],[Res. Likelihood]]*[[#This Row],[Res. Consequence]],"")</f>
        <v>0</v>
      </c>
      <c r="M10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0" spans="1:13">
      <c r="A110">
        <f>IF([[#This Row],Hazard]="","",ROW()-4)</f>
        <v>0</v>
      </c>
      <c r="G110">
        <f>IF(AND([[#This Row],Likelihood]&lt;&gt;"",[[#This Row],Consequence]&lt;&gt;""),[[#This Row],Likelihood]*[[#This Row],Consequence],"")</f>
        <v>0</v>
      </c>
      <c r="H11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0">
        <f>IF(AND([[#This Row],[Res. Likelihood]]&lt;&gt;"",[[#This Row],[Res. Consequence]]&lt;&gt;""),[[#This Row],[Res. Likelihood]]*[[#This Row],[Res. Consequence]],"")</f>
        <v>0</v>
      </c>
      <c r="M11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1" spans="1:13">
      <c r="A111">
        <f>IF([[#This Row],Hazard]="","",ROW()-4)</f>
        <v>0</v>
      </c>
      <c r="G111">
        <f>IF(AND([[#This Row],Likelihood]&lt;&gt;"",[[#This Row],Consequence]&lt;&gt;""),[[#This Row],Likelihood]*[[#This Row],Consequence],"")</f>
        <v>0</v>
      </c>
      <c r="H11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1">
        <f>IF(AND([[#This Row],[Res. Likelihood]]&lt;&gt;"",[[#This Row],[Res. Consequence]]&lt;&gt;""),[[#This Row],[Res. Likelihood]]*[[#This Row],[Res. Consequence]],"")</f>
        <v>0</v>
      </c>
      <c r="M11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2" spans="1:13">
      <c r="A112">
        <f>IF([[#This Row],Hazard]="","",ROW()-4)</f>
        <v>0</v>
      </c>
      <c r="G112">
        <f>IF(AND([[#This Row],Likelihood]&lt;&gt;"",[[#This Row],Consequence]&lt;&gt;""),[[#This Row],Likelihood]*[[#This Row],Consequence],"")</f>
        <v>0</v>
      </c>
      <c r="H11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2">
        <f>IF(AND([[#This Row],[Res. Likelihood]]&lt;&gt;"",[[#This Row],[Res. Consequence]]&lt;&gt;""),[[#This Row],[Res. Likelihood]]*[[#This Row],[Res. Consequence]],"")</f>
        <v>0</v>
      </c>
      <c r="M11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3" spans="1:13">
      <c r="A113">
        <f>IF([[#This Row],Hazard]="","",ROW()-4)</f>
        <v>0</v>
      </c>
      <c r="G113">
        <f>IF(AND([[#This Row],Likelihood]&lt;&gt;"",[[#This Row],Consequence]&lt;&gt;""),[[#This Row],Likelihood]*[[#This Row],Consequence],"")</f>
        <v>0</v>
      </c>
      <c r="H11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3">
        <f>IF(AND([[#This Row],[Res. Likelihood]]&lt;&gt;"",[[#This Row],[Res. Consequence]]&lt;&gt;""),[[#This Row],[Res. Likelihood]]*[[#This Row],[Res. Consequence]],"")</f>
        <v>0</v>
      </c>
      <c r="M11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4" spans="1:13">
      <c r="A114">
        <f>IF([[#This Row],Hazard]="","",ROW()-4)</f>
        <v>0</v>
      </c>
      <c r="G114">
        <f>IF(AND([[#This Row],Likelihood]&lt;&gt;"",[[#This Row],Consequence]&lt;&gt;""),[[#This Row],Likelihood]*[[#This Row],Consequence],"")</f>
        <v>0</v>
      </c>
      <c r="H11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4">
        <f>IF(AND([[#This Row],[Res. Likelihood]]&lt;&gt;"",[[#This Row],[Res. Consequence]]&lt;&gt;""),[[#This Row],[Res. Likelihood]]*[[#This Row],[Res. Consequence]],"")</f>
        <v>0</v>
      </c>
      <c r="M11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5" spans="1:13">
      <c r="A115">
        <f>IF([[#This Row],Hazard]="","",ROW()-4)</f>
        <v>0</v>
      </c>
      <c r="G115">
        <f>IF(AND([[#This Row],Likelihood]&lt;&gt;"",[[#This Row],Consequence]&lt;&gt;""),[[#This Row],Likelihood]*[[#This Row],Consequence],"")</f>
        <v>0</v>
      </c>
      <c r="H11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5">
        <f>IF(AND([[#This Row],[Res. Likelihood]]&lt;&gt;"",[[#This Row],[Res. Consequence]]&lt;&gt;""),[[#This Row],[Res. Likelihood]]*[[#This Row],[Res. Consequence]],"")</f>
        <v>0</v>
      </c>
      <c r="M11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6" spans="1:13">
      <c r="A116">
        <f>IF([[#This Row],Hazard]="","",ROW()-4)</f>
        <v>0</v>
      </c>
      <c r="G116">
        <f>IF(AND([[#This Row],Likelihood]&lt;&gt;"",[[#This Row],Consequence]&lt;&gt;""),[[#This Row],Likelihood]*[[#This Row],Consequence],"")</f>
        <v>0</v>
      </c>
      <c r="H11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6">
        <f>IF(AND([[#This Row],[Res. Likelihood]]&lt;&gt;"",[[#This Row],[Res. Consequence]]&lt;&gt;""),[[#This Row],[Res. Likelihood]]*[[#This Row],[Res. Consequence]],"")</f>
        <v>0</v>
      </c>
      <c r="M11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7" spans="1:13">
      <c r="A117">
        <f>IF([[#This Row],Hazard]="","",ROW()-4)</f>
        <v>0</v>
      </c>
      <c r="G117">
        <f>IF(AND([[#This Row],Likelihood]&lt;&gt;"",[[#This Row],Consequence]&lt;&gt;""),[[#This Row],Likelihood]*[[#This Row],Consequence],"")</f>
        <v>0</v>
      </c>
      <c r="H11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7">
        <f>IF(AND([[#This Row],[Res. Likelihood]]&lt;&gt;"",[[#This Row],[Res. Consequence]]&lt;&gt;""),[[#This Row],[Res. Likelihood]]*[[#This Row],[Res. Consequence]],"")</f>
        <v>0</v>
      </c>
      <c r="M11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8" spans="1:13">
      <c r="A118">
        <f>IF([[#This Row],Hazard]="","",ROW()-4)</f>
        <v>0</v>
      </c>
      <c r="G118">
        <f>IF(AND([[#This Row],Likelihood]&lt;&gt;"",[[#This Row],Consequence]&lt;&gt;""),[[#This Row],Likelihood]*[[#This Row],Consequence],"")</f>
        <v>0</v>
      </c>
      <c r="H11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8">
        <f>IF(AND([[#This Row],[Res. Likelihood]]&lt;&gt;"",[[#This Row],[Res. Consequence]]&lt;&gt;""),[[#This Row],[Res. Likelihood]]*[[#This Row],[Res. Consequence]],"")</f>
        <v>0</v>
      </c>
      <c r="M11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19" spans="1:13">
      <c r="A119">
        <f>IF([[#This Row],Hazard]="","",ROW()-4)</f>
        <v>0</v>
      </c>
      <c r="G119">
        <f>IF(AND([[#This Row],Likelihood]&lt;&gt;"",[[#This Row],Consequence]&lt;&gt;""),[[#This Row],Likelihood]*[[#This Row],Consequence],"")</f>
        <v>0</v>
      </c>
      <c r="H11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19">
        <f>IF(AND([[#This Row],[Res. Likelihood]]&lt;&gt;"",[[#This Row],[Res. Consequence]]&lt;&gt;""),[[#This Row],[Res. Likelihood]]*[[#This Row],[Res. Consequence]],"")</f>
        <v>0</v>
      </c>
      <c r="M11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0" spans="1:13">
      <c r="A120">
        <f>IF([[#This Row],Hazard]="","",ROW()-4)</f>
        <v>0</v>
      </c>
      <c r="G120">
        <f>IF(AND([[#This Row],Likelihood]&lt;&gt;"",[[#This Row],Consequence]&lt;&gt;""),[[#This Row],Likelihood]*[[#This Row],Consequence],"")</f>
        <v>0</v>
      </c>
      <c r="H12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0">
        <f>IF(AND([[#This Row],[Res. Likelihood]]&lt;&gt;"",[[#This Row],[Res. Consequence]]&lt;&gt;""),[[#This Row],[Res. Likelihood]]*[[#This Row],[Res. Consequence]],"")</f>
        <v>0</v>
      </c>
      <c r="M12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1" spans="1:13">
      <c r="A121">
        <f>IF([[#This Row],Hazard]="","",ROW()-4)</f>
        <v>0</v>
      </c>
      <c r="G121">
        <f>IF(AND([[#This Row],Likelihood]&lt;&gt;"",[[#This Row],Consequence]&lt;&gt;""),[[#This Row],Likelihood]*[[#This Row],Consequence],"")</f>
        <v>0</v>
      </c>
      <c r="H12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1">
        <f>IF(AND([[#This Row],[Res. Likelihood]]&lt;&gt;"",[[#This Row],[Res. Consequence]]&lt;&gt;""),[[#This Row],[Res. Likelihood]]*[[#This Row],[Res. Consequence]],"")</f>
        <v>0</v>
      </c>
      <c r="M12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2" spans="1:13">
      <c r="A122">
        <f>IF([[#This Row],Hazard]="","",ROW()-4)</f>
        <v>0</v>
      </c>
      <c r="G122">
        <f>IF(AND([[#This Row],Likelihood]&lt;&gt;"",[[#This Row],Consequence]&lt;&gt;""),[[#This Row],Likelihood]*[[#This Row],Consequence],"")</f>
        <v>0</v>
      </c>
      <c r="H12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2">
        <f>IF(AND([[#This Row],[Res. Likelihood]]&lt;&gt;"",[[#This Row],[Res. Consequence]]&lt;&gt;""),[[#This Row],[Res. Likelihood]]*[[#This Row],[Res. Consequence]],"")</f>
        <v>0</v>
      </c>
      <c r="M12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3" spans="1:13">
      <c r="A123">
        <f>IF([[#This Row],Hazard]="","",ROW()-4)</f>
        <v>0</v>
      </c>
      <c r="G123">
        <f>IF(AND([[#This Row],Likelihood]&lt;&gt;"",[[#This Row],Consequence]&lt;&gt;""),[[#This Row],Likelihood]*[[#This Row],Consequence],"")</f>
        <v>0</v>
      </c>
      <c r="H12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3">
        <f>IF(AND([[#This Row],[Res. Likelihood]]&lt;&gt;"",[[#This Row],[Res. Consequence]]&lt;&gt;""),[[#This Row],[Res. Likelihood]]*[[#This Row],[Res. Consequence]],"")</f>
        <v>0</v>
      </c>
      <c r="M12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4" spans="1:13">
      <c r="A124">
        <f>IF([[#This Row],Hazard]="","",ROW()-4)</f>
        <v>0</v>
      </c>
      <c r="G124">
        <f>IF(AND([[#This Row],Likelihood]&lt;&gt;"",[[#This Row],Consequence]&lt;&gt;""),[[#This Row],Likelihood]*[[#This Row],Consequence],"")</f>
        <v>0</v>
      </c>
      <c r="H12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4">
        <f>IF(AND([[#This Row],[Res. Likelihood]]&lt;&gt;"",[[#This Row],[Res. Consequence]]&lt;&gt;""),[[#This Row],[Res. Likelihood]]*[[#This Row],[Res. Consequence]],"")</f>
        <v>0</v>
      </c>
      <c r="M12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5" spans="1:13">
      <c r="A125">
        <f>IF([[#This Row],Hazard]="","",ROW()-4)</f>
        <v>0</v>
      </c>
      <c r="G125">
        <f>IF(AND([[#This Row],Likelihood]&lt;&gt;"",[[#This Row],Consequence]&lt;&gt;""),[[#This Row],Likelihood]*[[#This Row],Consequence],"")</f>
        <v>0</v>
      </c>
      <c r="H12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5">
        <f>IF(AND([[#This Row],[Res. Likelihood]]&lt;&gt;"",[[#This Row],[Res. Consequence]]&lt;&gt;""),[[#This Row],[Res. Likelihood]]*[[#This Row],[Res. Consequence]],"")</f>
        <v>0</v>
      </c>
      <c r="M12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6" spans="1:13">
      <c r="A126">
        <f>IF([[#This Row],Hazard]="","",ROW()-4)</f>
        <v>0</v>
      </c>
      <c r="G126">
        <f>IF(AND([[#This Row],Likelihood]&lt;&gt;"",[[#This Row],Consequence]&lt;&gt;""),[[#This Row],Likelihood]*[[#This Row],Consequence],"")</f>
        <v>0</v>
      </c>
      <c r="H12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6">
        <f>IF(AND([[#This Row],[Res. Likelihood]]&lt;&gt;"",[[#This Row],[Res. Consequence]]&lt;&gt;""),[[#This Row],[Res. Likelihood]]*[[#This Row],[Res. Consequence]],"")</f>
        <v>0</v>
      </c>
      <c r="M12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7" spans="1:13">
      <c r="A127">
        <f>IF([[#This Row],Hazard]="","",ROW()-4)</f>
        <v>0</v>
      </c>
      <c r="G127">
        <f>IF(AND([[#This Row],Likelihood]&lt;&gt;"",[[#This Row],Consequence]&lt;&gt;""),[[#This Row],Likelihood]*[[#This Row],Consequence],"")</f>
        <v>0</v>
      </c>
      <c r="H12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7">
        <f>IF(AND([[#This Row],[Res. Likelihood]]&lt;&gt;"",[[#This Row],[Res. Consequence]]&lt;&gt;""),[[#This Row],[Res. Likelihood]]*[[#This Row],[Res. Consequence]],"")</f>
        <v>0</v>
      </c>
      <c r="M12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8" spans="1:13">
      <c r="A128">
        <f>IF([[#This Row],Hazard]="","",ROW()-4)</f>
        <v>0</v>
      </c>
      <c r="G128">
        <f>IF(AND([[#This Row],Likelihood]&lt;&gt;"",[[#This Row],Consequence]&lt;&gt;""),[[#This Row],Likelihood]*[[#This Row],Consequence],"")</f>
        <v>0</v>
      </c>
      <c r="H12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8">
        <f>IF(AND([[#This Row],[Res. Likelihood]]&lt;&gt;"",[[#This Row],[Res. Consequence]]&lt;&gt;""),[[#This Row],[Res. Likelihood]]*[[#This Row],[Res. Consequence]],"")</f>
        <v>0</v>
      </c>
      <c r="M12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29" spans="1:13">
      <c r="A129">
        <f>IF([[#This Row],Hazard]="","",ROW()-4)</f>
        <v>0</v>
      </c>
      <c r="G129">
        <f>IF(AND([[#This Row],Likelihood]&lt;&gt;"",[[#This Row],Consequence]&lt;&gt;""),[[#This Row],Likelihood]*[[#This Row],Consequence],"")</f>
        <v>0</v>
      </c>
      <c r="H12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29">
        <f>IF(AND([[#This Row],[Res. Likelihood]]&lt;&gt;"",[[#This Row],[Res. Consequence]]&lt;&gt;""),[[#This Row],[Res. Likelihood]]*[[#This Row],[Res. Consequence]],"")</f>
        <v>0</v>
      </c>
      <c r="M12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0" spans="1:13">
      <c r="A130">
        <f>IF([[#This Row],Hazard]="","",ROW()-4)</f>
        <v>0</v>
      </c>
      <c r="G130">
        <f>IF(AND([[#This Row],Likelihood]&lt;&gt;"",[[#This Row],Consequence]&lt;&gt;""),[[#This Row],Likelihood]*[[#This Row],Consequence],"")</f>
        <v>0</v>
      </c>
      <c r="H13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0">
        <f>IF(AND([[#This Row],[Res. Likelihood]]&lt;&gt;"",[[#This Row],[Res. Consequence]]&lt;&gt;""),[[#This Row],[Res. Likelihood]]*[[#This Row],[Res. Consequence]],"")</f>
        <v>0</v>
      </c>
      <c r="M13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1" spans="1:13">
      <c r="A131">
        <f>IF([[#This Row],Hazard]="","",ROW()-4)</f>
        <v>0</v>
      </c>
      <c r="G131">
        <f>IF(AND([[#This Row],Likelihood]&lt;&gt;"",[[#This Row],Consequence]&lt;&gt;""),[[#This Row],Likelihood]*[[#This Row],Consequence],"")</f>
        <v>0</v>
      </c>
      <c r="H13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1">
        <f>IF(AND([[#This Row],[Res. Likelihood]]&lt;&gt;"",[[#This Row],[Res. Consequence]]&lt;&gt;""),[[#This Row],[Res. Likelihood]]*[[#This Row],[Res. Consequence]],"")</f>
        <v>0</v>
      </c>
      <c r="M13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2" spans="1:13">
      <c r="A132">
        <f>IF([[#This Row],Hazard]="","",ROW()-4)</f>
        <v>0</v>
      </c>
      <c r="G132">
        <f>IF(AND([[#This Row],Likelihood]&lt;&gt;"",[[#This Row],Consequence]&lt;&gt;""),[[#This Row],Likelihood]*[[#This Row],Consequence],"")</f>
        <v>0</v>
      </c>
      <c r="H13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2">
        <f>IF(AND([[#This Row],[Res. Likelihood]]&lt;&gt;"",[[#This Row],[Res. Consequence]]&lt;&gt;""),[[#This Row],[Res. Likelihood]]*[[#This Row],[Res. Consequence]],"")</f>
        <v>0</v>
      </c>
      <c r="M13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3" spans="1:13">
      <c r="A133">
        <f>IF([[#This Row],Hazard]="","",ROW()-4)</f>
        <v>0</v>
      </c>
      <c r="G133">
        <f>IF(AND([[#This Row],Likelihood]&lt;&gt;"",[[#This Row],Consequence]&lt;&gt;""),[[#This Row],Likelihood]*[[#This Row],Consequence],"")</f>
        <v>0</v>
      </c>
      <c r="H13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3">
        <f>IF(AND([[#This Row],[Res. Likelihood]]&lt;&gt;"",[[#This Row],[Res. Consequence]]&lt;&gt;""),[[#This Row],[Res. Likelihood]]*[[#This Row],[Res. Consequence]],"")</f>
        <v>0</v>
      </c>
      <c r="M13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4" spans="1:13">
      <c r="A134">
        <f>IF([[#This Row],Hazard]="","",ROW()-4)</f>
        <v>0</v>
      </c>
      <c r="G134">
        <f>IF(AND([[#This Row],Likelihood]&lt;&gt;"",[[#This Row],Consequence]&lt;&gt;""),[[#This Row],Likelihood]*[[#This Row],Consequence],"")</f>
        <v>0</v>
      </c>
      <c r="H13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4">
        <f>IF(AND([[#This Row],[Res. Likelihood]]&lt;&gt;"",[[#This Row],[Res. Consequence]]&lt;&gt;""),[[#This Row],[Res. Likelihood]]*[[#This Row],[Res. Consequence]],"")</f>
        <v>0</v>
      </c>
      <c r="M13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5" spans="1:13">
      <c r="A135">
        <f>IF([[#This Row],Hazard]="","",ROW()-4)</f>
        <v>0</v>
      </c>
      <c r="G135">
        <f>IF(AND([[#This Row],Likelihood]&lt;&gt;"",[[#This Row],Consequence]&lt;&gt;""),[[#This Row],Likelihood]*[[#This Row],Consequence],"")</f>
        <v>0</v>
      </c>
      <c r="H13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5">
        <f>IF(AND([[#This Row],[Res. Likelihood]]&lt;&gt;"",[[#This Row],[Res. Consequence]]&lt;&gt;""),[[#This Row],[Res. Likelihood]]*[[#This Row],[Res. Consequence]],"")</f>
        <v>0</v>
      </c>
      <c r="M13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6" spans="1:13">
      <c r="A136">
        <f>IF([[#This Row],Hazard]="","",ROW()-4)</f>
        <v>0</v>
      </c>
      <c r="G136">
        <f>IF(AND([[#This Row],Likelihood]&lt;&gt;"",[[#This Row],Consequence]&lt;&gt;""),[[#This Row],Likelihood]*[[#This Row],Consequence],"")</f>
        <v>0</v>
      </c>
      <c r="H13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6">
        <f>IF(AND([[#This Row],[Res. Likelihood]]&lt;&gt;"",[[#This Row],[Res. Consequence]]&lt;&gt;""),[[#This Row],[Res. Likelihood]]*[[#This Row],[Res. Consequence]],"")</f>
        <v>0</v>
      </c>
      <c r="M13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7" spans="1:13">
      <c r="A137">
        <f>IF([[#This Row],Hazard]="","",ROW()-4)</f>
        <v>0</v>
      </c>
      <c r="G137">
        <f>IF(AND([[#This Row],Likelihood]&lt;&gt;"",[[#This Row],Consequence]&lt;&gt;""),[[#This Row],Likelihood]*[[#This Row],Consequence],"")</f>
        <v>0</v>
      </c>
      <c r="H13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7">
        <f>IF(AND([[#This Row],[Res. Likelihood]]&lt;&gt;"",[[#This Row],[Res. Consequence]]&lt;&gt;""),[[#This Row],[Res. Likelihood]]*[[#This Row],[Res. Consequence]],"")</f>
        <v>0</v>
      </c>
      <c r="M13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8" spans="1:13">
      <c r="A138">
        <f>IF([[#This Row],Hazard]="","",ROW()-4)</f>
        <v>0</v>
      </c>
      <c r="G138">
        <f>IF(AND([[#This Row],Likelihood]&lt;&gt;"",[[#This Row],Consequence]&lt;&gt;""),[[#This Row],Likelihood]*[[#This Row],Consequence],"")</f>
        <v>0</v>
      </c>
      <c r="H13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8">
        <f>IF(AND([[#This Row],[Res. Likelihood]]&lt;&gt;"",[[#This Row],[Res. Consequence]]&lt;&gt;""),[[#This Row],[Res. Likelihood]]*[[#This Row],[Res. Consequence]],"")</f>
        <v>0</v>
      </c>
      <c r="M13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39" spans="1:13">
      <c r="A139">
        <f>IF([[#This Row],Hazard]="","",ROW()-4)</f>
        <v>0</v>
      </c>
      <c r="G139">
        <f>IF(AND([[#This Row],Likelihood]&lt;&gt;"",[[#This Row],Consequence]&lt;&gt;""),[[#This Row],Likelihood]*[[#This Row],Consequence],"")</f>
        <v>0</v>
      </c>
      <c r="H13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39">
        <f>IF(AND([[#This Row],[Res. Likelihood]]&lt;&gt;"",[[#This Row],[Res. Consequence]]&lt;&gt;""),[[#This Row],[Res. Likelihood]]*[[#This Row],[Res. Consequence]],"")</f>
        <v>0</v>
      </c>
      <c r="M13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0" spans="1:13">
      <c r="A140">
        <f>IF([[#This Row],Hazard]="","",ROW()-4)</f>
        <v>0</v>
      </c>
      <c r="G140">
        <f>IF(AND([[#This Row],Likelihood]&lt;&gt;"",[[#This Row],Consequence]&lt;&gt;""),[[#This Row],Likelihood]*[[#This Row],Consequence],"")</f>
        <v>0</v>
      </c>
      <c r="H14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0">
        <f>IF(AND([[#This Row],[Res. Likelihood]]&lt;&gt;"",[[#This Row],[Res. Consequence]]&lt;&gt;""),[[#This Row],[Res. Likelihood]]*[[#This Row],[Res. Consequence]],"")</f>
        <v>0</v>
      </c>
      <c r="M14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1" spans="1:13">
      <c r="A141">
        <f>IF([[#This Row],Hazard]="","",ROW()-4)</f>
        <v>0</v>
      </c>
      <c r="G141">
        <f>IF(AND([[#This Row],Likelihood]&lt;&gt;"",[[#This Row],Consequence]&lt;&gt;""),[[#This Row],Likelihood]*[[#This Row],Consequence],"")</f>
        <v>0</v>
      </c>
      <c r="H14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1">
        <f>IF(AND([[#This Row],[Res. Likelihood]]&lt;&gt;"",[[#This Row],[Res. Consequence]]&lt;&gt;""),[[#This Row],[Res. Likelihood]]*[[#This Row],[Res. Consequence]],"")</f>
        <v>0</v>
      </c>
      <c r="M14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2" spans="1:13">
      <c r="A142">
        <f>IF([[#This Row],Hazard]="","",ROW()-4)</f>
        <v>0</v>
      </c>
      <c r="G142">
        <f>IF(AND([[#This Row],Likelihood]&lt;&gt;"",[[#This Row],Consequence]&lt;&gt;""),[[#This Row],Likelihood]*[[#This Row],Consequence],"")</f>
        <v>0</v>
      </c>
      <c r="H14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2">
        <f>IF(AND([[#This Row],[Res. Likelihood]]&lt;&gt;"",[[#This Row],[Res. Consequence]]&lt;&gt;""),[[#This Row],[Res. Likelihood]]*[[#This Row],[Res. Consequence]],"")</f>
        <v>0</v>
      </c>
      <c r="M14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3" spans="1:13">
      <c r="A143">
        <f>IF([[#This Row],Hazard]="","",ROW()-4)</f>
        <v>0</v>
      </c>
      <c r="G143">
        <f>IF(AND([[#This Row],Likelihood]&lt;&gt;"",[[#This Row],Consequence]&lt;&gt;""),[[#This Row],Likelihood]*[[#This Row],Consequence],"")</f>
        <v>0</v>
      </c>
      <c r="H14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3">
        <f>IF(AND([[#This Row],[Res. Likelihood]]&lt;&gt;"",[[#This Row],[Res. Consequence]]&lt;&gt;""),[[#This Row],[Res. Likelihood]]*[[#This Row],[Res. Consequence]],"")</f>
        <v>0</v>
      </c>
      <c r="M14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4" spans="1:13">
      <c r="A144">
        <f>IF([[#This Row],Hazard]="","",ROW()-4)</f>
        <v>0</v>
      </c>
      <c r="G144">
        <f>IF(AND([[#This Row],Likelihood]&lt;&gt;"",[[#This Row],Consequence]&lt;&gt;""),[[#This Row],Likelihood]*[[#This Row],Consequence],"")</f>
        <v>0</v>
      </c>
      <c r="H14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4">
        <f>IF(AND([[#This Row],[Res. Likelihood]]&lt;&gt;"",[[#This Row],[Res. Consequence]]&lt;&gt;""),[[#This Row],[Res. Likelihood]]*[[#This Row],[Res. Consequence]],"")</f>
        <v>0</v>
      </c>
      <c r="M14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5" spans="1:13">
      <c r="A145">
        <f>IF([[#This Row],Hazard]="","",ROW()-4)</f>
        <v>0</v>
      </c>
      <c r="G145">
        <f>IF(AND([[#This Row],Likelihood]&lt;&gt;"",[[#This Row],Consequence]&lt;&gt;""),[[#This Row],Likelihood]*[[#This Row],Consequence],"")</f>
        <v>0</v>
      </c>
      <c r="H14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5">
        <f>IF(AND([[#This Row],[Res. Likelihood]]&lt;&gt;"",[[#This Row],[Res. Consequence]]&lt;&gt;""),[[#This Row],[Res. Likelihood]]*[[#This Row],[Res. Consequence]],"")</f>
        <v>0</v>
      </c>
      <c r="M14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6" spans="1:13">
      <c r="A146">
        <f>IF([[#This Row],Hazard]="","",ROW()-4)</f>
        <v>0</v>
      </c>
      <c r="G146">
        <f>IF(AND([[#This Row],Likelihood]&lt;&gt;"",[[#This Row],Consequence]&lt;&gt;""),[[#This Row],Likelihood]*[[#This Row],Consequence],"")</f>
        <v>0</v>
      </c>
      <c r="H14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6">
        <f>IF(AND([[#This Row],[Res. Likelihood]]&lt;&gt;"",[[#This Row],[Res. Consequence]]&lt;&gt;""),[[#This Row],[Res. Likelihood]]*[[#This Row],[Res. Consequence]],"")</f>
        <v>0</v>
      </c>
      <c r="M14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7" spans="1:13">
      <c r="A147">
        <f>IF([[#This Row],Hazard]="","",ROW()-4)</f>
        <v>0</v>
      </c>
      <c r="G147">
        <f>IF(AND([[#This Row],Likelihood]&lt;&gt;"",[[#This Row],Consequence]&lt;&gt;""),[[#This Row],Likelihood]*[[#This Row],Consequence],"")</f>
        <v>0</v>
      </c>
      <c r="H14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7">
        <f>IF(AND([[#This Row],[Res. Likelihood]]&lt;&gt;"",[[#This Row],[Res. Consequence]]&lt;&gt;""),[[#This Row],[Res. Likelihood]]*[[#This Row],[Res. Consequence]],"")</f>
        <v>0</v>
      </c>
      <c r="M14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8" spans="1:13">
      <c r="A148">
        <f>IF([[#This Row],Hazard]="","",ROW()-4)</f>
        <v>0</v>
      </c>
      <c r="G148">
        <f>IF(AND([[#This Row],Likelihood]&lt;&gt;"",[[#This Row],Consequence]&lt;&gt;""),[[#This Row],Likelihood]*[[#This Row],Consequence],"")</f>
        <v>0</v>
      </c>
      <c r="H14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8">
        <f>IF(AND([[#This Row],[Res. Likelihood]]&lt;&gt;"",[[#This Row],[Res. Consequence]]&lt;&gt;""),[[#This Row],[Res. Likelihood]]*[[#This Row],[Res. Consequence]],"")</f>
        <v>0</v>
      </c>
      <c r="M14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49" spans="1:13">
      <c r="A149">
        <f>IF([[#This Row],Hazard]="","",ROW()-4)</f>
        <v>0</v>
      </c>
      <c r="G149">
        <f>IF(AND([[#This Row],Likelihood]&lt;&gt;"",[[#This Row],Consequence]&lt;&gt;""),[[#This Row],Likelihood]*[[#This Row],Consequence],"")</f>
        <v>0</v>
      </c>
      <c r="H14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49">
        <f>IF(AND([[#This Row],[Res. Likelihood]]&lt;&gt;"",[[#This Row],[Res. Consequence]]&lt;&gt;""),[[#This Row],[Res. Likelihood]]*[[#This Row],[Res. Consequence]],"")</f>
        <v>0</v>
      </c>
      <c r="M14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0" spans="1:13">
      <c r="A150">
        <f>IF([[#This Row],Hazard]="","",ROW()-4)</f>
        <v>0</v>
      </c>
      <c r="G150">
        <f>IF(AND([[#This Row],Likelihood]&lt;&gt;"",[[#This Row],Consequence]&lt;&gt;""),[[#This Row],Likelihood]*[[#This Row],Consequence],"")</f>
        <v>0</v>
      </c>
      <c r="H15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0">
        <f>IF(AND([[#This Row],[Res. Likelihood]]&lt;&gt;"",[[#This Row],[Res. Consequence]]&lt;&gt;""),[[#This Row],[Res. Likelihood]]*[[#This Row],[Res. Consequence]],"")</f>
        <v>0</v>
      </c>
      <c r="M15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1" spans="1:13">
      <c r="A151">
        <f>IF([[#This Row],Hazard]="","",ROW()-4)</f>
        <v>0</v>
      </c>
      <c r="G151">
        <f>IF(AND([[#This Row],Likelihood]&lt;&gt;"",[[#This Row],Consequence]&lt;&gt;""),[[#This Row],Likelihood]*[[#This Row],Consequence],"")</f>
        <v>0</v>
      </c>
      <c r="H15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1">
        <f>IF(AND([[#This Row],[Res. Likelihood]]&lt;&gt;"",[[#This Row],[Res. Consequence]]&lt;&gt;""),[[#This Row],[Res. Likelihood]]*[[#This Row],[Res. Consequence]],"")</f>
        <v>0</v>
      </c>
      <c r="M15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2" spans="1:13">
      <c r="A152">
        <f>IF([[#This Row],Hazard]="","",ROW()-4)</f>
        <v>0</v>
      </c>
      <c r="G152">
        <f>IF(AND([[#This Row],Likelihood]&lt;&gt;"",[[#This Row],Consequence]&lt;&gt;""),[[#This Row],Likelihood]*[[#This Row],Consequence],"")</f>
        <v>0</v>
      </c>
      <c r="H15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2">
        <f>IF(AND([[#This Row],[Res. Likelihood]]&lt;&gt;"",[[#This Row],[Res. Consequence]]&lt;&gt;""),[[#This Row],[Res. Likelihood]]*[[#This Row],[Res. Consequence]],"")</f>
        <v>0</v>
      </c>
      <c r="M15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3" spans="1:13">
      <c r="A153">
        <f>IF([[#This Row],Hazard]="","",ROW()-4)</f>
        <v>0</v>
      </c>
      <c r="G153">
        <f>IF(AND([[#This Row],Likelihood]&lt;&gt;"",[[#This Row],Consequence]&lt;&gt;""),[[#This Row],Likelihood]*[[#This Row],Consequence],"")</f>
        <v>0</v>
      </c>
      <c r="H15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3">
        <f>IF(AND([[#This Row],[Res. Likelihood]]&lt;&gt;"",[[#This Row],[Res. Consequence]]&lt;&gt;""),[[#This Row],[Res. Likelihood]]*[[#This Row],[Res. Consequence]],"")</f>
        <v>0</v>
      </c>
      <c r="M15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4" spans="1:13">
      <c r="A154">
        <f>IF([[#This Row],Hazard]="","",ROW()-4)</f>
        <v>0</v>
      </c>
      <c r="G154">
        <f>IF(AND([[#This Row],Likelihood]&lt;&gt;"",[[#This Row],Consequence]&lt;&gt;""),[[#This Row],Likelihood]*[[#This Row],Consequence],"")</f>
        <v>0</v>
      </c>
      <c r="H15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4">
        <f>IF(AND([[#This Row],[Res. Likelihood]]&lt;&gt;"",[[#This Row],[Res. Consequence]]&lt;&gt;""),[[#This Row],[Res. Likelihood]]*[[#This Row],[Res. Consequence]],"")</f>
        <v>0</v>
      </c>
      <c r="M15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5" spans="1:13">
      <c r="A155">
        <f>IF([[#This Row],Hazard]="","",ROW()-4)</f>
        <v>0</v>
      </c>
      <c r="G155">
        <f>IF(AND([[#This Row],Likelihood]&lt;&gt;"",[[#This Row],Consequence]&lt;&gt;""),[[#This Row],Likelihood]*[[#This Row],Consequence],"")</f>
        <v>0</v>
      </c>
      <c r="H15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5">
        <f>IF(AND([[#This Row],[Res. Likelihood]]&lt;&gt;"",[[#This Row],[Res. Consequence]]&lt;&gt;""),[[#This Row],[Res. Likelihood]]*[[#This Row],[Res. Consequence]],"")</f>
        <v>0</v>
      </c>
      <c r="M15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6" spans="1:13">
      <c r="A156">
        <f>IF([[#This Row],Hazard]="","",ROW()-4)</f>
        <v>0</v>
      </c>
      <c r="G156">
        <f>IF(AND([[#This Row],Likelihood]&lt;&gt;"",[[#This Row],Consequence]&lt;&gt;""),[[#This Row],Likelihood]*[[#This Row],Consequence],"")</f>
        <v>0</v>
      </c>
      <c r="H15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6">
        <f>IF(AND([[#This Row],[Res. Likelihood]]&lt;&gt;"",[[#This Row],[Res. Consequence]]&lt;&gt;""),[[#This Row],[Res. Likelihood]]*[[#This Row],[Res. Consequence]],"")</f>
        <v>0</v>
      </c>
      <c r="M15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7" spans="1:13">
      <c r="A157">
        <f>IF([[#This Row],Hazard]="","",ROW()-4)</f>
        <v>0</v>
      </c>
      <c r="G157">
        <f>IF(AND([[#This Row],Likelihood]&lt;&gt;"",[[#This Row],Consequence]&lt;&gt;""),[[#This Row],Likelihood]*[[#This Row],Consequence],"")</f>
        <v>0</v>
      </c>
      <c r="H15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7">
        <f>IF(AND([[#This Row],[Res. Likelihood]]&lt;&gt;"",[[#This Row],[Res. Consequence]]&lt;&gt;""),[[#This Row],[Res. Likelihood]]*[[#This Row],[Res. Consequence]],"")</f>
        <v>0</v>
      </c>
      <c r="M15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8" spans="1:13">
      <c r="A158">
        <f>IF([[#This Row],Hazard]="","",ROW()-4)</f>
        <v>0</v>
      </c>
      <c r="G158">
        <f>IF(AND([[#This Row],Likelihood]&lt;&gt;"",[[#This Row],Consequence]&lt;&gt;""),[[#This Row],Likelihood]*[[#This Row],Consequence],"")</f>
        <v>0</v>
      </c>
      <c r="H15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8">
        <f>IF(AND([[#This Row],[Res. Likelihood]]&lt;&gt;"",[[#This Row],[Res. Consequence]]&lt;&gt;""),[[#This Row],[Res. Likelihood]]*[[#This Row],[Res. Consequence]],"")</f>
        <v>0</v>
      </c>
      <c r="M15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59" spans="1:13">
      <c r="A159">
        <f>IF([[#This Row],Hazard]="","",ROW()-4)</f>
        <v>0</v>
      </c>
      <c r="G159">
        <f>IF(AND([[#This Row],Likelihood]&lt;&gt;"",[[#This Row],Consequence]&lt;&gt;""),[[#This Row],Likelihood]*[[#This Row],Consequence],"")</f>
        <v>0</v>
      </c>
      <c r="H15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59">
        <f>IF(AND([[#This Row],[Res. Likelihood]]&lt;&gt;"",[[#This Row],[Res. Consequence]]&lt;&gt;""),[[#This Row],[Res. Likelihood]]*[[#This Row],[Res. Consequence]],"")</f>
        <v>0</v>
      </c>
      <c r="M15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0" spans="1:13">
      <c r="A160">
        <f>IF([[#This Row],Hazard]="","",ROW()-4)</f>
        <v>0</v>
      </c>
      <c r="G160">
        <f>IF(AND([[#This Row],Likelihood]&lt;&gt;"",[[#This Row],Consequence]&lt;&gt;""),[[#This Row],Likelihood]*[[#This Row],Consequence],"")</f>
        <v>0</v>
      </c>
      <c r="H16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0">
        <f>IF(AND([[#This Row],[Res. Likelihood]]&lt;&gt;"",[[#This Row],[Res. Consequence]]&lt;&gt;""),[[#This Row],[Res. Likelihood]]*[[#This Row],[Res. Consequence]],"")</f>
        <v>0</v>
      </c>
      <c r="M16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1" spans="1:13">
      <c r="A161">
        <f>IF([[#This Row],Hazard]="","",ROW()-4)</f>
        <v>0</v>
      </c>
      <c r="G161">
        <f>IF(AND([[#This Row],Likelihood]&lt;&gt;"",[[#This Row],Consequence]&lt;&gt;""),[[#This Row],Likelihood]*[[#This Row],Consequence],"")</f>
        <v>0</v>
      </c>
      <c r="H16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1">
        <f>IF(AND([[#This Row],[Res. Likelihood]]&lt;&gt;"",[[#This Row],[Res. Consequence]]&lt;&gt;""),[[#This Row],[Res. Likelihood]]*[[#This Row],[Res. Consequence]],"")</f>
        <v>0</v>
      </c>
      <c r="M16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2" spans="1:13">
      <c r="A162">
        <f>IF([[#This Row],Hazard]="","",ROW()-4)</f>
        <v>0</v>
      </c>
      <c r="G162">
        <f>IF(AND([[#This Row],Likelihood]&lt;&gt;"",[[#This Row],Consequence]&lt;&gt;""),[[#This Row],Likelihood]*[[#This Row],Consequence],"")</f>
        <v>0</v>
      </c>
      <c r="H16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2">
        <f>IF(AND([[#This Row],[Res. Likelihood]]&lt;&gt;"",[[#This Row],[Res. Consequence]]&lt;&gt;""),[[#This Row],[Res. Likelihood]]*[[#This Row],[Res. Consequence]],"")</f>
        <v>0</v>
      </c>
      <c r="M16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3" spans="1:13">
      <c r="A163">
        <f>IF([[#This Row],Hazard]="","",ROW()-4)</f>
        <v>0</v>
      </c>
      <c r="G163">
        <f>IF(AND([[#This Row],Likelihood]&lt;&gt;"",[[#This Row],Consequence]&lt;&gt;""),[[#This Row],Likelihood]*[[#This Row],Consequence],"")</f>
        <v>0</v>
      </c>
      <c r="H16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3">
        <f>IF(AND([[#This Row],[Res. Likelihood]]&lt;&gt;"",[[#This Row],[Res. Consequence]]&lt;&gt;""),[[#This Row],[Res. Likelihood]]*[[#This Row],[Res. Consequence]],"")</f>
        <v>0</v>
      </c>
      <c r="M16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4" spans="1:13">
      <c r="A164">
        <f>IF([[#This Row],Hazard]="","",ROW()-4)</f>
        <v>0</v>
      </c>
      <c r="G164">
        <f>IF(AND([[#This Row],Likelihood]&lt;&gt;"",[[#This Row],Consequence]&lt;&gt;""),[[#This Row],Likelihood]*[[#This Row],Consequence],"")</f>
        <v>0</v>
      </c>
      <c r="H16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4">
        <f>IF(AND([[#This Row],[Res. Likelihood]]&lt;&gt;"",[[#This Row],[Res. Consequence]]&lt;&gt;""),[[#This Row],[Res. Likelihood]]*[[#This Row],[Res. Consequence]],"")</f>
        <v>0</v>
      </c>
      <c r="M16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5" spans="1:13">
      <c r="A165">
        <f>IF([[#This Row],Hazard]="","",ROW()-4)</f>
        <v>0</v>
      </c>
      <c r="G165">
        <f>IF(AND([[#This Row],Likelihood]&lt;&gt;"",[[#This Row],Consequence]&lt;&gt;""),[[#This Row],Likelihood]*[[#This Row],Consequence],"")</f>
        <v>0</v>
      </c>
      <c r="H16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5">
        <f>IF(AND([[#This Row],[Res. Likelihood]]&lt;&gt;"",[[#This Row],[Res. Consequence]]&lt;&gt;""),[[#This Row],[Res. Likelihood]]*[[#This Row],[Res. Consequence]],"")</f>
        <v>0</v>
      </c>
      <c r="M16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6" spans="1:13">
      <c r="A166">
        <f>IF([[#This Row],Hazard]="","",ROW()-4)</f>
        <v>0</v>
      </c>
      <c r="G166">
        <f>IF(AND([[#This Row],Likelihood]&lt;&gt;"",[[#This Row],Consequence]&lt;&gt;""),[[#This Row],Likelihood]*[[#This Row],Consequence],"")</f>
        <v>0</v>
      </c>
      <c r="H16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6">
        <f>IF(AND([[#This Row],[Res. Likelihood]]&lt;&gt;"",[[#This Row],[Res. Consequence]]&lt;&gt;""),[[#This Row],[Res. Likelihood]]*[[#This Row],[Res. Consequence]],"")</f>
        <v>0</v>
      </c>
      <c r="M16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7" spans="1:13">
      <c r="A167">
        <f>IF([[#This Row],Hazard]="","",ROW()-4)</f>
        <v>0</v>
      </c>
      <c r="G167">
        <f>IF(AND([[#This Row],Likelihood]&lt;&gt;"",[[#This Row],Consequence]&lt;&gt;""),[[#This Row],Likelihood]*[[#This Row],Consequence],"")</f>
        <v>0</v>
      </c>
      <c r="H16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7">
        <f>IF(AND([[#This Row],[Res. Likelihood]]&lt;&gt;"",[[#This Row],[Res. Consequence]]&lt;&gt;""),[[#This Row],[Res. Likelihood]]*[[#This Row],[Res. Consequence]],"")</f>
        <v>0</v>
      </c>
      <c r="M16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8" spans="1:13">
      <c r="A168">
        <f>IF([[#This Row],Hazard]="","",ROW()-4)</f>
        <v>0</v>
      </c>
      <c r="G168">
        <f>IF(AND([[#This Row],Likelihood]&lt;&gt;"",[[#This Row],Consequence]&lt;&gt;""),[[#This Row],Likelihood]*[[#This Row],Consequence],"")</f>
        <v>0</v>
      </c>
      <c r="H16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8">
        <f>IF(AND([[#This Row],[Res. Likelihood]]&lt;&gt;"",[[#This Row],[Res. Consequence]]&lt;&gt;""),[[#This Row],[Res. Likelihood]]*[[#This Row],[Res. Consequence]],"")</f>
        <v>0</v>
      </c>
      <c r="M16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69" spans="1:13">
      <c r="A169">
        <f>IF([[#This Row],Hazard]="","",ROW()-4)</f>
        <v>0</v>
      </c>
      <c r="G169">
        <f>IF(AND([[#This Row],Likelihood]&lt;&gt;"",[[#This Row],Consequence]&lt;&gt;""),[[#This Row],Likelihood]*[[#This Row],Consequence],"")</f>
        <v>0</v>
      </c>
      <c r="H16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69">
        <f>IF(AND([[#This Row],[Res. Likelihood]]&lt;&gt;"",[[#This Row],[Res. Consequence]]&lt;&gt;""),[[#This Row],[Res. Likelihood]]*[[#This Row],[Res. Consequence]],"")</f>
        <v>0</v>
      </c>
      <c r="M16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0" spans="1:13">
      <c r="A170">
        <f>IF([[#This Row],Hazard]="","",ROW()-4)</f>
        <v>0</v>
      </c>
      <c r="G170">
        <f>IF(AND([[#This Row],Likelihood]&lt;&gt;"",[[#This Row],Consequence]&lt;&gt;""),[[#This Row],Likelihood]*[[#This Row],Consequence],"")</f>
        <v>0</v>
      </c>
      <c r="H17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0">
        <f>IF(AND([[#This Row],[Res. Likelihood]]&lt;&gt;"",[[#This Row],[Res. Consequence]]&lt;&gt;""),[[#This Row],[Res. Likelihood]]*[[#This Row],[Res. Consequence]],"")</f>
        <v>0</v>
      </c>
      <c r="M17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1" spans="1:13">
      <c r="A171">
        <f>IF([[#This Row],Hazard]="","",ROW()-4)</f>
        <v>0</v>
      </c>
      <c r="G171">
        <f>IF(AND([[#This Row],Likelihood]&lt;&gt;"",[[#This Row],Consequence]&lt;&gt;""),[[#This Row],Likelihood]*[[#This Row],Consequence],"")</f>
        <v>0</v>
      </c>
      <c r="H17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1">
        <f>IF(AND([[#This Row],[Res. Likelihood]]&lt;&gt;"",[[#This Row],[Res. Consequence]]&lt;&gt;""),[[#This Row],[Res. Likelihood]]*[[#This Row],[Res. Consequence]],"")</f>
        <v>0</v>
      </c>
      <c r="M17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2" spans="1:13">
      <c r="A172">
        <f>IF([[#This Row],Hazard]="","",ROW()-4)</f>
        <v>0</v>
      </c>
      <c r="G172">
        <f>IF(AND([[#This Row],Likelihood]&lt;&gt;"",[[#This Row],Consequence]&lt;&gt;""),[[#This Row],Likelihood]*[[#This Row],Consequence],"")</f>
        <v>0</v>
      </c>
      <c r="H17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2">
        <f>IF(AND([[#This Row],[Res. Likelihood]]&lt;&gt;"",[[#This Row],[Res. Consequence]]&lt;&gt;""),[[#This Row],[Res. Likelihood]]*[[#This Row],[Res. Consequence]],"")</f>
        <v>0</v>
      </c>
      <c r="M17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3" spans="1:13">
      <c r="A173">
        <f>IF([[#This Row],Hazard]="","",ROW()-4)</f>
        <v>0</v>
      </c>
      <c r="G173">
        <f>IF(AND([[#This Row],Likelihood]&lt;&gt;"",[[#This Row],Consequence]&lt;&gt;""),[[#This Row],Likelihood]*[[#This Row],Consequence],"")</f>
        <v>0</v>
      </c>
      <c r="H17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3">
        <f>IF(AND([[#This Row],[Res. Likelihood]]&lt;&gt;"",[[#This Row],[Res. Consequence]]&lt;&gt;""),[[#This Row],[Res. Likelihood]]*[[#This Row],[Res. Consequence]],"")</f>
        <v>0</v>
      </c>
      <c r="M17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4" spans="1:13">
      <c r="A174">
        <f>IF([[#This Row],Hazard]="","",ROW()-4)</f>
        <v>0</v>
      </c>
      <c r="G174">
        <f>IF(AND([[#This Row],Likelihood]&lt;&gt;"",[[#This Row],Consequence]&lt;&gt;""),[[#This Row],Likelihood]*[[#This Row],Consequence],"")</f>
        <v>0</v>
      </c>
      <c r="H17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4">
        <f>IF(AND([[#This Row],[Res. Likelihood]]&lt;&gt;"",[[#This Row],[Res. Consequence]]&lt;&gt;""),[[#This Row],[Res. Likelihood]]*[[#This Row],[Res. Consequence]],"")</f>
        <v>0</v>
      </c>
      <c r="M17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5" spans="1:13">
      <c r="A175">
        <f>IF([[#This Row],Hazard]="","",ROW()-4)</f>
        <v>0</v>
      </c>
      <c r="G175">
        <f>IF(AND([[#This Row],Likelihood]&lt;&gt;"",[[#This Row],Consequence]&lt;&gt;""),[[#This Row],Likelihood]*[[#This Row],Consequence],"")</f>
        <v>0</v>
      </c>
      <c r="H17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5">
        <f>IF(AND([[#This Row],[Res. Likelihood]]&lt;&gt;"",[[#This Row],[Res. Consequence]]&lt;&gt;""),[[#This Row],[Res. Likelihood]]*[[#This Row],[Res. Consequence]],"")</f>
        <v>0</v>
      </c>
      <c r="M17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6" spans="1:13">
      <c r="A176">
        <f>IF([[#This Row],Hazard]="","",ROW()-4)</f>
        <v>0</v>
      </c>
      <c r="G176">
        <f>IF(AND([[#This Row],Likelihood]&lt;&gt;"",[[#This Row],Consequence]&lt;&gt;""),[[#This Row],Likelihood]*[[#This Row],Consequence],"")</f>
        <v>0</v>
      </c>
      <c r="H17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6">
        <f>IF(AND([[#This Row],[Res. Likelihood]]&lt;&gt;"",[[#This Row],[Res. Consequence]]&lt;&gt;""),[[#This Row],[Res. Likelihood]]*[[#This Row],[Res. Consequence]],"")</f>
        <v>0</v>
      </c>
      <c r="M17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7" spans="1:13">
      <c r="A177">
        <f>IF([[#This Row],Hazard]="","",ROW()-4)</f>
        <v>0</v>
      </c>
      <c r="G177">
        <f>IF(AND([[#This Row],Likelihood]&lt;&gt;"",[[#This Row],Consequence]&lt;&gt;""),[[#This Row],Likelihood]*[[#This Row],Consequence],"")</f>
        <v>0</v>
      </c>
      <c r="H17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7">
        <f>IF(AND([[#This Row],[Res. Likelihood]]&lt;&gt;"",[[#This Row],[Res. Consequence]]&lt;&gt;""),[[#This Row],[Res. Likelihood]]*[[#This Row],[Res. Consequence]],"")</f>
        <v>0</v>
      </c>
      <c r="M17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8" spans="1:13">
      <c r="A178">
        <f>IF([[#This Row],Hazard]="","",ROW()-4)</f>
        <v>0</v>
      </c>
      <c r="G178">
        <f>IF(AND([[#This Row],Likelihood]&lt;&gt;"",[[#This Row],Consequence]&lt;&gt;""),[[#This Row],Likelihood]*[[#This Row],Consequence],"")</f>
        <v>0</v>
      </c>
      <c r="H17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8">
        <f>IF(AND([[#This Row],[Res. Likelihood]]&lt;&gt;"",[[#This Row],[Res. Consequence]]&lt;&gt;""),[[#This Row],[Res. Likelihood]]*[[#This Row],[Res. Consequence]],"")</f>
        <v>0</v>
      </c>
      <c r="M17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79" spans="1:13">
      <c r="A179">
        <f>IF([[#This Row],Hazard]="","",ROW()-4)</f>
        <v>0</v>
      </c>
      <c r="G179">
        <f>IF(AND([[#This Row],Likelihood]&lt;&gt;"",[[#This Row],Consequence]&lt;&gt;""),[[#This Row],Likelihood]*[[#This Row],Consequence],"")</f>
        <v>0</v>
      </c>
      <c r="H17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79">
        <f>IF(AND([[#This Row],[Res. Likelihood]]&lt;&gt;"",[[#This Row],[Res. Consequence]]&lt;&gt;""),[[#This Row],[Res. Likelihood]]*[[#This Row],[Res. Consequence]],"")</f>
        <v>0</v>
      </c>
      <c r="M17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0" spans="1:13">
      <c r="A180">
        <f>IF([[#This Row],Hazard]="","",ROW()-4)</f>
        <v>0</v>
      </c>
      <c r="G180">
        <f>IF(AND([[#This Row],Likelihood]&lt;&gt;"",[[#This Row],Consequence]&lt;&gt;""),[[#This Row],Likelihood]*[[#This Row],Consequence],"")</f>
        <v>0</v>
      </c>
      <c r="H18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0">
        <f>IF(AND([[#This Row],[Res. Likelihood]]&lt;&gt;"",[[#This Row],[Res. Consequence]]&lt;&gt;""),[[#This Row],[Res. Likelihood]]*[[#This Row],[Res. Consequence]],"")</f>
        <v>0</v>
      </c>
      <c r="M18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1" spans="1:13">
      <c r="A181">
        <f>IF([[#This Row],Hazard]="","",ROW()-4)</f>
        <v>0</v>
      </c>
      <c r="G181">
        <f>IF(AND([[#This Row],Likelihood]&lt;&gt;"",[[#This Row],Consequence]&lt;&gt;""),[[#This Row],Likelihood]*[[#This Row],Consequence],"")</f>
        <v>0</v>
      </c>
      <c r="H18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1">
        <f>IF(AND([[#This Row],[Res. Likelihood]]&lt;&gt;"",[[#This Row],[Res. Consequence]]&lt;&gt;""),[[#This Row],[Res. Likelihood]]*[[#This Row],[Res. Consequence]],"")</f>
        <v>0</v>
      </c>
      <c r="M18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2" spans="1:13">
      <c r="A182">
        <f>IF([[#This Row],Hazard]="","",ROW()-4)</f>
        <v>0</v>
      </c>
      <c r="G182">
        <f>IF(AND([[#This Row],Likelihood]&lt;&gt;"",[[#This Row],Consequence]&lt;&gt;""),[[#This Row],Likelihood]*[[#This Row],Consequence],"")</f>
        <v>0</v>
      </c>
      <c r="H18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2">
        <f>IF(AND([[#This Row],[Res. Likelihood]]&lt;&gt;"",[[#This Row],[Res. Consequence]]&lt;&gt;""),[[#This Row],[Res. Likelihood]]*[[#This Row],[Res. Consequence]],"")</f>
        <v>0</v>
      </c>
      <c r="M18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3" spans="1:13">
      <c r="A183">
        <f>IF([[#This Row],Hazard]="","",ROW()-4)</f>
        <v>0</v>
      </c>
      <c r="G183">
        <f>IF(AND([[#This Row],Likelihood]&lt;&gt;"",[[#This Row],Consequence]&lt;&gt;""),[[#This Row],Likelihood]*[[#This Row],Consequence],"")</f>
        <v>0</v>
      </c>
      <c r="H18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3">
        <f>IF(AND([[#This Row],[Res. Likelihood]]&lt;&gt;"",[[#This Row],[Res. Consequence]]&lt;&gt;""),[[#This Row],[Res. Likelihood]]*[[#This Row],[Res. Consequence]],"")</f>
        <v>0</v>
      </c>
      <c r="M18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4" spans="1:13">
      <c r="A184">
        <f>IF([[#This Row],Hazard]="","",ROW()-4)</f>
        <v>0</v>
      </c>
      <c r="G184">
        <f>IF(AND([[#This Row],Likelihood]&lt;&gt;"",[[#This Row],Consequence]&lt;&gt;""),[[#This Row],Likelihood]*[[#This Row],Consequence],"")</f>
        <v>0</v>
      </c>
      <c r="H18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4">
        <f>IF(AND([[#This Row],[Res. Likelihood]]&lt;&gt;"",[[#This Row],[Res. Consequence]]&lt;&gt;""),[[#This Row],[Res. Likelihood]]*[[#This Row],[Res. Consequence]],"")</f>
        <v>0</v>
      </c>
      <c r="M18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5" spans="1:13">
      <c r="A185">
        <f>IF([[#This Row],Hazard]="","",ROW()-4)</f>
        <v>0</v>
      </c>
      <c r="G185">
        <f>IF(AND([[#This Row],Likelihood]&lt;&gt;"",[[#This Row],Consequence]&lt;&gt;""),[[#This Row],Likelihood]*[[#This Row],Consequence],"")</f>
        <v>0</v>
      </c>
      <c r="H18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5">
        <f>IF(AND([[#This Row],[Res. Likelihood]]&lt;&gt;"",[[#This Row],[Res. Consequence]]&lt;&gt;""),[[#This Row],[Res. Likelihood]]*[[#This Row],[Res. Consequence]],"")</f>
        <v>0</v>
      </c>
      <c r="M18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6" spans="1:13">
      <c r="A186">
        <f>IF([[#This Row],Hazard]="","",ROW()-4)</f>
        <v>0</v>
      </c>
      <c r="G186">
        <f>IF(AND([[#This Row],Likelihood]&lt;&gt;"",[[#This Row],Consequence]&lt;&gt;""),[[#This Row],Likelihood]*[[#This Row],Consequence],"")</f>
        <v>0</v>
      </c>
      <c r="H18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6">
        <f>IF(AND([[#This Row],[Res. Likelihood]]&lt;&gt;"",[[#This Row],[Res. Consequence]]&lt;&gt;""),[[#This Row],[Res. Likelihood]]*[[#This Row],[Res. Consequence]],"")</f>
        <v>0</v>
      </c>
      <c r="M18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7" spans="1:13">
      <c r="A187">
        <f>IF([[#This Row],Hazard]="","",ROW()-4)</f>
        <v>0</v>
      </c>
      <c r="G187">
        <f>IF(AND([[#This Row],Likelihood]&lt;&gt;"",[[#This Row],Consequence]&lt;&gt;""),[[#This Row],Likelihood]*[[#This Row],Consequence],"")</f>
        <v>0</v>
      </c>
      <c r="H18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7">
        <f>IF(AND([[#This Row],[Res. Likelihood]]&lt;&gt;"",[[#This Row],[Res. Consequence]]&lt;&gt;""),[[#This Row],[Res. Likelihood]]*[[#This Row],[Res. Consequence]],"")</f>
        <v>0</v>
      </c>
      <c r="M18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8" spans="1:13">
      <c r="A188">
        <f>IF([[#This Row],Hazard]="","",ROW()-4)</f>
        <v>0</v>
      </c>
      <c r="G188">
        <f>IF(AND([[#This Row],Likelihood]&lt;&gt;"",[[#This Row],Consequence]&lt;&gt;""),[[#This Row],Likelihood]*[[#This Row],Consequence],"")</f>
        <v>0</v>
      </c>
      <c r="H18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8">
        <f>IF(AND([[#This Row],[Res. Likelihood]]&lt;&gt;"",[[#This Row],[Res. Consequence]]&lt;&gt;""),[[#This Row],[Res. Likelihood]]*[[#This Row],[Res. Consequence]],"")</f>
        <v>0</v>
      </c>
      <c r="M18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89" spans="1:13">
      <c r="A189">
        <f>IF([[#This Row],Hazard]="","",ROW()-4)</f>
        <v>0</v>
      </c>
      <c r="G189">
        <f>IF(AND([[#This Row],Likelihood]&lt;&gt;"",[[#This Row],Consequence]&lt;&gt;""),[[#This Row],Likelihood]*[[#This Row],Consequence],"")</f>
        <v>0</v>
      </c>
      <c r="H18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89">
        <f>IF(AND([[#This Row],[Res. Likelihood]]&lt;&gt;"",[[#This Row],[Res. Consequence]]&lt;&gt;""),[[#This Row],[Res. Likelihood]]*[[#This Row],[Res. Consequence]],"")</f>
        <v>0</v>
      </c>
      <c r="M18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0" spans="1:13">
      <c r="A190">
        <f>IF([[#This Row],Hazard]="","",ROW()-4)</f>
        <v>0</v>
      </c>
      <c r="G190">
        <f>IF(AND([[#This Row],Likelihood]&lt;&gt;"",[[#This Row],Consequence]&lt;&gt;""),[[#This Row],Likelihood]*[[#This Row],Consequence],"")</f>
        <v>0</v>
      </c>
      <c r="H19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0">
        <f>IF(AND([[#This Row],[Res. Likelihood]]&lt;&gt;"",[[#This Row],[Res. Consequence]]&lt;&gt;""),[[#This Row],[Res. Likelihood]]*[[#This Row],[Res. Consequence]],"")</f>
        <v>0</v>
      </c>
      <c r="M19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1" spans="1:13">
      <c r="A191">
        <f>IF([[#This Row],Hazard]="","",ROW()-4)</f>
        <v>0</v>
      </c>
      <c r="G191">
        <f>IF(AND([[#This Row],Likelihood]&lt;&gt;"",[[#This Row],Consequence]&lt;&gt;""),[[#This Row],Likelihood]*[[#This Row],Consequence],"")</f>
        <v>0</v>
      </c>
      <c r="H19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1">
        <f>IF(AND([[#This Row],[Res. Likelihood]]&lt;&gt;"",[[#This Row],[Res. Consequence]]&lt;&gt;""),[[#This Row],[Res. Likelihood]]*[[#This Row],[Res. Consequence]],"")</f>
        <v>0</v>
      </c>
      <c r="M19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2" spans="1:13">
      <c r="A192">
        <f>IF([[#This Row],Hazard]="","",ROW()-4)</f>
        <v>0</v>
      </c>
      <c r="G192">
        <f>IF(AND([[#This Row],Likelihood]&lt;&gt;"",[[#This Row],Consequence]&lt;&gt;""),[[#This Row],Likelihood]*[[#This Row],Consequence],"")</f>
        <v>0</v>
      </c>
      <c r="H19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2">
        <f>IF(AND([[#This Row],[Res. Likelihood]]&lt;&gt;"",[[#This Row],[Res. Consequence]]&lt;&gt;""),[[#This Row],[Res. Likelihood]]*[[#This Row],[Res. Consequence]],"")</f>
        <v>0</v>
      </c>
      <c r="M19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3" spans="1:13">
      <c r="A193">
        <f>IF([[#This Row],Hazard]="","",ROW()-4)</f>
        <v>0</v>
      </c>
      <c r="G193">
        <f>IF(AND([[#This Row],Likelihood]&lt;&gt;"",[[#This Row],Consequence]&lt;&gt;""),[[#This Row],Likelihood]*[[#This Row],Consequence],"")</f>
        <v>0</v>
      </c>
      <c r="H19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3">
        <f>IF(AND([[#This Row],[Res. Likelihood]]&lt;&gt;"",[[#This Row],[Res. Consequence]]&lt;&gt;""),[[#This Row],[Res. Likelihood]]*[[#This Row],[Res. Consequence]],"")</f>
        <v>0</v>
      </c>
      <c r="M19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4" spans="1:13">
      <c r="A194">
        <f>IF([[#This Row],Hazard]="","",ROW()-4)</f>
        <v>0</v>
      </c>
      <c r="G194">
        <f>IF(AND([[#This Row],Likelihood]&lt;&gt;"",[[#This Row],Consequence]&lt;&gt;""),[[#This Row],Likelihood]*[[#This Row],Consequence],"")</f>
        <v>0</v>
      </c>
      <c r="H19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4">
        <f>IF(AND([[#This Row],[Res. Likelihood]]&lt;&gt;"",[[#This Row],[Res. Consequence]]&lt;&gt;""),[[#This Row],[Res. Likelihood]]*[[#This Row],[Res. Consequence]],"")</f>
        <v>0</v>
      </c>
      <c r="M19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5" spans="1:13">
      <c r="A195">
        <f>IF([[#This Row],Hazard]="","",ROW()-4)</f>
        <v>0</v>
      </c>
      <c r="G195">
        <f>IF(AND([[#This Row],Likelihood]&lt;&gt;"",[[#This Row],Consequence]&lt;&gt;""),[[#This Row],Likelihood]*[[#This Row],Consequence],"")</f>
        <v>0</v>
      </c>
      <c r="H195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5">
        <f>IF(AND([[#This Row],[Res. Likelihood]]&lt;&gt;"",[[#This Row],[Res. Consequence]]&lt;&gt;""),[[#This Row],[Res. Likelihood]]*[[#This Row],[Res. Consequence]],"")</f>
        <v>0</v>
      </c>
      <c r="M195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6" spans="1:13">
      <c r="A196">
        <f>IF([[#This Row],Hazard]="","",ROW()-4)</f>
        <v>0</v>
      </c>
      <c r="G196">
        <f>IF(AND([[#This Row],Likelihood]&lt;&gt;"",[[#This Row],Consequence]&lt;&gt;""),[[#This Row],Likelihood]*[[#This Row],Consequence],"")</f>
        <v>0</v>
      </c>
      <c r="H196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6">
        <f>IF(AND([[#This Row],[Res. Likelihood]]&lt;&gt;"",[[#This Row],[Res. Consequence]]&lt;&gt;""),[[#This Row],[Res. Likelihood]]*[[#This Row],[Res. Consequence]],"")</f>
        <v>0</v>
      </c>
      <c r="M196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7" spans="1:13">
      <c r="A197">
        <f>IF([[#This Row],Hazard]="","",ROW()-4)</f>
        <v>0</v>
      </c>
      <c r="G197">
        <f>IF(AND([[#This Row],Likelihood]&lt;&gt;"",[[#This Row],Consequence]&lt;&gt;""),[[#This Row],Likelihood]*[[#This Row],Consequence],"")</f>
        <v>0</v>
      </c>
      <c r="H197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7">
        <f>IF(AND([[#This Row],[Res. Likelihood]]&lt;&gt;"",[[#This Row],[Res. Consequence]]&lt;&gt;""),[[#This Row],[Res. Likelihood]]*[[#This Row],[Res. Consequence]],"")</f>
        <v>0</v>
      </c>
      <c r="M197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8" spans="1:13">
      <c r="A198">
        <f>IF([[#This Row],Hazard]="","",ROW()-4)</f>
        <v>0</v>
      </c>
      <c r="G198">
        <f>IF(AND([[#This Row],Likelihood]&lt;&gt;"",[[#This Row],Consequence]&lt;&gt;""),[[#This Row],Likelihood]*[[#This Row],Consequence],"")</f>
        <v>0</v>
      </c>
      <c r="H198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8">
        <f>IF(AND([[#This Row],[Res. Likelihood]]&lt;&gt;"",[[#This Row],[Res. Consequence]]&lt;&gt;""),[[#This Row],[Res. Likelihood]]*[[#This Row],[Res. Consequence]],"")</f>
        <v>0</v>
      </c>
      <c r="M198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199" spans="1:13">
      <c r="A199">
        <f>IF([[#This Row],Hazard]="","",ROW()-4)</f>
        <v>0</v>
      </c>
      <c r="G199">
        <f>IF(AND([[#This Row],Likelihood]&lt;&gt;"",[[#This Row],Consequence]&lt;&gt;""),[[#This Row],Likelihood]*[[#This Row],Consequence],"")</f>
        <v>0</v>
      </c>
      <c r="H199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199">
        <f>IF(AND([[#This Row],[Res. Likelihood]]&lt;&gt;"",[[#This Row],[Res. Consequence]]&lt;&gt;""),[[#This Row],[Res. Likelihood]]*[[#This Row],[Res. Consequence]],"")</f>
        <v>0</v>
      </c>
      <c r="M199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0" spans="1:13">
      <c r="A200">
        <f>IF([[#This Row],Hazard]="","",ROW()-4)</f>
        <v>0</v>
      </c>
      <c r="G200">
        <f>IF(AND([[#This Row],Likelihood]&lt;&gt;"",[[#This Row],Consequence]&lt;&gt;""),[[#This Row],Likelihood]*[[#This Row],Consequence],"")</f>
        <v>0</v>
      </c>
      <c r="H200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0">
        <f>IF(AND([[#This Row],[Res. Likelihood]]&lt;&gt;"",[[#This Row],[Res. Consequence]]&lt;&gt;""),[[#This Row],[Res. Likelihood]]*[[#This Row],[Res. Consequence]],"")</f>
        <v>0</v>
      </c>
      <c r="M200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1" spans="1:13">
      <c r="A201">
        <f>IF([[#This Row],Hazard]="","",ROW()-4)</f>
        <v>0</v>
      </c>
      <c r="G201">
        <f>IF(AND([[#This Row],Likelihood]&lt;&gt;"",[[#This Row],Consequence]&lt;&gt;""),[[#This Row],Likelihood]*[[#This Row],Consequence],"")</f>
        <v>0</v>
      </c>
      <c r="H201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1">
        <f>IF(AND([[#This Row],[Res. Likelihood]]&lt;&gt;"",[[#This Row],[Res. Consequence]]&lt;&gt;""),[[#This Row],[Res. Likelihood]]*[[#This Row],[Res. Consequence]],"")</f>
        <v>0</v>
      </c>
      <c r="M201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2" spans="1:13">
      <c r="A202">
        <f>IF([[#This Row],Hazard]="","",ROW()-4)</f>
        <v>0</v>
      </c>
      <c r="G202">
        <f>IF(AND([[#This Row],Likelihood]&lt;&gt;"",[[#This Row],Consequence]&lt;&gt;""),[[#This Row],Likelihood]*[[#This Row],Consequence],"")</f>
        <v>0</v>
      </c>
      <c r="H202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2">
        <f>IF(AND([[#This Row],[Res. Likelihood]]&lt;&gt;"",[[#This Row],[Res. Consequence]]&lt;&gt;""),[[#This Row],[Res. Likelihood]]*[[#This Row],[Res. Consequence]],"")</f>
        <v>0</v>
      </c>
      <c r="M202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3" spans="1:13">
      <c r="A203">
        <f>IF([[#This Row],Hazard]="","",ROW()-4)</f>
        <v>0</v>
      </c>
      <c r="G203">
        <f>IF(AND([[#This Row],Likelihood]&lt;&gt;"",[[#This Row],Consequence]&lt;&gt;""),[[#This Row],Likelihood]*[[#This Row],Consequence],"")</f>
        <v>0</v>
      </c>
      <c r="H203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3">
        <f>IF(AND([[#This Row],[Res. Likelihood]]&lt;&gt;"",[[#This Row],[Res. Consequence]]&lt;&gt;""),[[#This Row],[Res. Likelihood]]*[[#This Row],[Res. Consequence]],"")</f>
        <v>0</v>
      </c>
      <c r="M203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  <row r="204" spans="1:13">
      <c r="A204">
        <f>IF([[#This Row],Hazard]="","",ROW()-4)</f>
        <v>0</v>
      </c>
      <c r="G204">
        <f>IF(AND([[#This Row],Likelihood]&lt;&gt;"",[[#This Row],Consequence]&lt;&gt;""),[[#This Row],Likelihood]*[[#This Row],Consequence],"")</f>
        <v>0</v>
      </c>
      <c r="H204">
        <f>IF([[#This Row],[Risk Score]]="","",IF([[#This Row],[Risk Score]]&gt;=15,"Extreme",IF([[#This Row],[Risk Score]]&gt;=10,"High",IF([[#This Row],[Risk Score]]&gt;=5,"Medium",IF([[#This Row],[Risk Score]]&gt;=2,"Low","Very Low")))))</f>
        <v>0</v>
      </c>
      <c r="L204">
        <f>IF(AND([[#This Row],[Res. Likelihood]]&lt;&gt;"",[[#This Row],[Res. Consequence]]&lt;&gt;""),[[#This Row],[Res. Likelihood]]*[[#This Row],[Res. Consequence]],"")</f>
        <v>0</v>
      </c>
      <c r="M204">
        <f>IF([[#This Row],[Residual Score]]="","",IF([[#This Row],[Residual Score]]&gt;=15,"Extreme",IF([[#This Row],[Residual Score]]&gt;=10,"High",IF([[#This Row],[Residual Score]]&gt;=5,"Medium",IF([[#This Row],[Residual Score]]&gt;=2,"Low","Very Low")))))</f>
        <v>0</v>
      </c>
    </row>
  </sheetData>
  <mergeCells count="1">
    <mergeCell ref="A1:O3"/>
  </mergeCells>
  <conditionalFormatting sqref="G5:G204">
    <cfRule type="cellIs" dxfId="0" priority="1" operator="greaterThanOrEqual">
      <formula>15</formula>
    </cfRule>
    <cfRule type="cellIs" dxfId="1" priority="2" operator="greaterThanOrEqual">
      <formula>10</formula>
    </cfRule>
    <cfRule type="cellIs" dxfId="2" priority="3" operator="greaterThanOrEqual">
      <formula>5</formula>
    </cfRule>
    <cfRule type="cellIs" dxfId="3" priority="4" operator="greaterThanOrEqual">
      <formula>2</formula>
    </cfRule>
    <cfRule type="cellIs" dxfId="6" priority="5" operator="greaterThan">
      <formula>0</formula>
    </cfRule>
  </conditionalFormatting>
  <conditionalFormatting sqref="H5:H204">
    <cfRule type="expression" dxfId="6" priority="6">
      <formula>$H5="Very Low"</formula>
    </cfRule>
    <cfRule type="expression" dxfId="3" priority="7">
      <formula>$H5="Low"</formula>
    </cfRule>
    <cfRule type="expression" dxfId="2" priority="8">
      <formula>$H5="Medium"</formula>
    </cfRule>
    <cfRule type="expression" dxfId="1" priority="9">
      <formula>$H5="High"</formula>
    </cfRule>
    <cfRule type="expression" dxfId="0" priority="10">
      <formula>$H5="Extreme"</formula>
    </cfRule>
  </conditionalFormatting>
  <conditionalFormatting sqref="L5:L204">
    <cfRule type="cellIs" dxfId="0" priority="11" operator="greaterThanOrEqual">
      <formula>15</formula>
    </cfRule>
    <cfRule type="cellIs" dxfId="1" priority="12" operator="greaterThanOrEqual">
      <formula>10</formula>
    </cfRule>
    <cfRule type="cellIs" dxfId="2" priority="13" operator="greaterThanOrEqual">
      <formula>5</formula>
    </cfRule>
    <cfRule type="cellIs" dxfId="3" priority="14" operator="greaterThanOrEqual">
      <formula>2</formula>
    </cfRule>
    <cfRule type="cellIs" dxfId="6" priority="15" operator="greaterThan">
      <formula>0</formula>
    </cfRule>
  </conditionalFormatting>
  <conditionalFormatting sqref="M5:M204">
    <cfRule type="expression" dxfId="6" priority="16">
      <formula>$M5="Very Low"</formula>
    </cfRule>
    <cfRule type="expression" dxfId="3" priority="17">
      <formula>$M5="Low"</formula>
    </cfRule>
    <cfRule type="expression" dxfId="2" priority="18">
      <formula>$M5="Medium"</formula>
    </cfRule>
    <cfRule type="expression" dxfId="1" priority="19">
      <formula>$M5="High"</formula>
    </cfRule>
    <cfRule type="expression" dxfId="0" priority="20">
      <formula>$M5="Extreme"</formula>
    </cfRule>
  </conditionalFormatting>
  <dataValidations count="6">
    <dataValidation type="list" allowBlank="1" showInputMessage="1" showErrorMessage="1" sqref="C5:C204">
      <formula1>SETUP!$B$2:$B$9</formula1>
    </dataValidation>
    <dataValidation type="list" allowBlank="1" showInputMessage="1" showErrorMessage="1" sqref="D5:D204">
      <formula1>SETUP!$A$2:$A$11</formula1>
    </dataValidation>
    <dataValidation type="list" allowBlank="1" showInputMessage="1" showErrorMessage="1" sqref="E5:E204">
      <formula1>SETUP!$L$2:$L$6</formula1>
    </dataValidation>
    <dataValidation type="list" allowBlank="1" showInputMessage="1" showErrorMessage="1" sqref="F5:F204">
      <formula1>SETUP!$L$2:$L$6</formula1>
    </dataValidation>
    <dataValidation type="list" allowBlank="1" showInputMessage="1" showErrorMessage="1" sqref="J5:J204">
      <formula1>SETUP!$L$2:$L$6</formula1>
    </dataValidation>
    <dataValidation type="list" allowBlank="1" showInputMessage="1" showErrorMessage="1" sqref="K5:K204">
      <formula1>SETUP!$L$2:$L$6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FF87"/>
  </sheetPr>
  <dimension ref="A1:M204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12.7109375" customWidth="1"/>
    <col min="3" max="3" width="8.7109375" customWidth="1"/>
    <col min="4" max="4" width="20.7109375" customWidth="1"/>
    <col min="5" max="5" width="18.7109375" customWidth="1"/>
    <col min="6" max="6" width="10.7109375" customWidth="1"/>
    <col min="7" max="7" width="14.7109375" customWidth="1"/>
    <col min="8" max="9" width="12.7109375" customWidth="1"/>
    <col min="10" max="10" width="8.7109375" customWidth="1"/>
    <col min="11" max="11" width="12.7109375" customWidth="1"/>
    <col min="12" max="12" width="26.7109375" customWidth="1"/>
  </cols>
  <sheetData>
    <row r="1" spans="1:13" ht="20" customHeight="1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3" ht="20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ht="2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3" ht="24" customHeight="1">
      <c r="A4" t="s">
        <v>89</v>
      </c>
      <c r="B4" t="s">
        <v>206</v>
      </c>
      <c r="C4" t="s">
        <v>207</v>
      </c>
      <c r="D4" t="s">
        <v>208</v>
      </c>
      <c r="E4" t="s">
        <v>209</v>
      </c>
      <c r="F4" t="s">
        <v>210</v>
      </c>
      <c r="G4" t="s">
        <v>211</v>
      </c>
      <c r="H4" t="s">
        <v>212</v>
      </c>
      <c r="I4" t="s">
        <v>213</v>
      </c>
      <c r="J4" t="s">
        <v>214</v>
      </c>
      <c r="K4" t="s">
        <v>215</v>
      </c>
      <c r="L4" t="s">
        <v>216</v>
      </c>
    </row>
    <row r="5" spans="1:13" ht="22" customHeight="1">
      <c r="A5">
        <f>IF([[#This Row],Month]="","",ROW()-4)</f>
        <v>0</v>
      </c>
      <c r="B5" s="5" t="s">
        <v>58</v>
      </c>
      <c r="C5" s="9">
        <v>2024</v>
      </c>
      <c r="D5" s="9">
        <v>1200</v>
      </c>
      <c r="E5" s="9">
        <v>180</v>
      </c>
      <c r="F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5" s="14">
        <v>3.2</v>
      </c>
      <c r="H5" s="9">
        <v>420</v>
      </c>
      <c r="I5" s="9">
        <v>1850</v>
      </c>
      <c r="J5" s="9">
        <v>12500</v>
      </c>
      <c r="K5" s="9">
        <v>0</v>
      </c>
      <c r="L5" s="9">
        <v>0</v>
      </c>
    </row>
    <row r="6" spans="1:13" ht="22" customHeight="1">
      <c r="A6">
        <f>IF([[#This Row],Month]="","",ROW()-4)</f>
        <v>0</v>
      </c>
      <c r="B6" s="7" t="s">
        <v>59</v>
      </c>
      <c r="C6" s="10">
        <v>2024</v>
      </c>
      <c r="D6" s="10">
        <v>1350</v>
      </c>
      <c r="E6" s="10">
        <v>160</v>
      </c>
      <c r="F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6" s="15">
        <v>2.9</v>
      </c>
      <c r="H6" s="10">
        <v>395</v>
      </c>
      <c r="I6" s="10">
        <v>1720</v>
      </c>
      <c r="J6" s="10">
        <v>11800</v>
      </c>
      <c r="K6" s="10">
        <v>0</v>
      </c>
      <c r="L6" s="10">
        <v>0</v>
      </c>
    </row>
    <row r="7" spans="1:13" ht="22" customHeight="1">
      <c r="A7">
        <f>IF([[#This Row],Month]="","",ROW()-4)</f>
        <v>0</v>
      </c>
      <c r="B7" s="5" t="s">
        <v>60</v>
      </c>
      <c r="C7" s="9">
        <v>2024</v>
      </c>
      <c r="D7" s="9">
        <v>1180</v>
      </c>
      <c r="E7" s="9">
        <v>220</v>
      </c>
      <c r="F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7" s="14">
        <v>3.5</v>
      </c>
      <c r="H7" s="9">
        <v>440</v>
      </c>
      <c r="I7" s="9">
        <v>1920</v>
      </c>
      <c r="J7" s="9">
        <v>13200</v>
      </c>
      <c r="K7" s="9">
        <v>1</v>
      </c>
      <c r="L7" s="9">
        <v>0</v>
      </c>
      <c r="M7" s="5" t="s">
        <v>217</v>
      </c>
    </row>
    <row r="8" spans="1:13" ht="22" customHeight="1">
      <c r="A8">
        <f>IF([[#This Row],Month]="","",ROW()-4)</f>
        <v>0</v>
      </c>
      <c r="B8" s="7" t="s">
        <v>61</v>
      </c>
      <c r="C8" s="10">
        <v>2024</v>
      </c>
      <c r="D8" s="10">
        <v>1420</v>
      </c>
      <c r="E8" s="10">
        <v>150</v>
      </c>
      <c r="F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8" s="15">
        <v>3.1</v>
      </c>
      <c r="H8" s="10">
        <v>410</v>
      </c>
      <c r="I8" s="10">
        <v>1790</v>
      </c>
      <c r="J8" s="10">
        <v>12100</v>
      </c>
      <c r="K8" s="10">
        <v>0</v>
      </c>
      <c r="L8" s="10">
        <v>0</v>
      </c>
    </row>
    <row r="9" spans="1:13" ht="22" customHeight="1">
      <c r="A9">
        <f>IF([[#This Row],Month]="","",ROW()-4)</f>
        <v>0</v>
      </c>
      <c r="B9" s="5" t="s">
        <v>62</v>
      </c>
      <c r="C9" s="9">
        <v>2024</v>
      </c>
      <c r="D9" s="9">
        <v>1500</v>
      </c>
      <c r="E9" s="9">
        <v>140</v>
      </c>
      <c r="F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9" s="14">
        <v>3</v>
      </c>
      <c r="H9" s="9">
        <v>380</v>
      </c>
      <c r="I9" s="9">
        <v>1680</v>
      </c>
      <c r="J9" s="9">
        <v>11500</v>
      </c>
      <c r="K9" s="9">
        <v>0</v>
      </c>
      <c r="L9" s="9">
        <v>1</v>
      </c>
      <c r="M9" s="5" t="s">
        <v>218</v>
      </c>
    </row>
    <row r="10" spans="1:13" ht="22" customHeight="1">
      <c r="A10">
        <f>IF([[#This Row],Month]="","",ROW()-4)</f>
        <v>0</v>
      </c>
      <c r="B10" s="7" t="s">
        <v>63</v>
      </c>
      <c r="C10" s="10">
        <v>2024</v>
      </c>
      <c r="D10" s="10">
        <v>1380</v>
      </c>
      <c r="E10" s="10">
        <v>160</v>
      </c>
      <c r="F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  <c r="G10" s="15">
        <v>2.8</v>
      </c>
      <c r="H10" s="10">
        <v>355</v>
      </c>
      <c r="I10" s="10">
        <v>1620</v>
      </c>
      <c r="J10" s="10">
        <v>10900</v>
      </c>
      <c r="K10" s="10">
        <v>0</v>
      </c>
      <c r="L10" s="10">
        <v>0</v>
      </c>
    </row>
    <row r="11" spans="1:13">
      <c r="A11">
        <f>IF([[#This Row],Month]="","",ROW()-4)</f>
        <v>0</v>
      </c>
      <c r="F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" spans="1:13">
      <c r="A12">
        <f>IF([[#This Row],Month]="","",ROW()-4)</f>
        <v>0</v>
      </c>
      <c r="F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" spans="1:13">
      <c r="A13">
        <f>IF([[#This Row],Month]="","",ROW()-4)</f>
        <v>0</v>
      </c>
      <c r="F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" spans="1:13">
      <c r="A14">
        <f>IF([[#This Row],Month]="","",ROW()-4)</f>
        <v>0</v>
      </c>
      <c r="F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" spans="1:13">
      <c r="A15">
        <f>IF([[#This Row],Month]="","",ROW()-4)</f>
        <v>0</v>
      </c>
      <c r="F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" spans="1:13">
      <c r="A16">
        <f>IF([[#This Row],Month]="","",ROW()-4)</f>
        <v>0</v>
      </c>
      <c r="F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" spans="1:6">
      <c r="A17">
        <f>IF([[#This Row],Month]="","",ROW()-4)</f>
        <v>0</v>
      </c>
      <c r="F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" spans="1:6">
      <c r="A18">
        <f>IF([[#This Row],Month]="","",ROW()-4)</f>
        <v>0</v>
      </c>
      <c r="F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" spans="1:6">
      <c r="A19">
        <f>IF([[#This Row],Month]="","",ROW()-4)</f>
        <v>0</v>
      </c>
      <c r="F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" spans="1:6">
      <c r="A20">
        <f>IF([[#This Row],Month]="","",ROW()-4)</f>
        <v>0</v>
      </c>
      <c r="F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1" spans="1:6">
      <c r="A21">
        <f>IF([[#This Row],Month]="","",ROW()-4)</f>
        <v>0</v>
      </c>
      <c r="F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2" spans="1:6">
      <c r="A22">
        <f>IF([[#This Row],Month]="","",ROW()-4)</f>
        <v>0</v>
      </c>
      <c r="F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3" spans="1:6">
      <c r="A23">
        <f>IF([[#This Row],Month]="","",ROW()-4)</f>
        <v>0</v>
      </c>
      <c r="F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4" spans="1:6">
      <c r="A24">
        <f>IF([[#This Row],Month]="","",ROW()-4)</f>
        <v>0</v>
      </c>
      <c r="F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5" spans="1:6">
      <c r="A25">
        <f>IF([[#This Row],Month]="","",ROW()-4)</f>
        <v>0</v>
      </c>
      <c r="F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6" spans="1:6">
      <c r="A26">
        <f>IF([[#This Row],Month]="","",ROW()-4)</f>
        <v>0</v>
      </c>
      <c r="F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7" spans="1:6">
      <c r="A27">
        <f>IF([[#This Row],Month]="","",ROW()-4)</f>
        <v>0</v>
      </c>
      <c r="F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8" spans="1:6">
      <c r="A28">
        <f>IF([[#This Row],Month]="","",ROW()-4)</f>
        <v>0</v>
      </c>
      <c r="F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9" spans="1:6">
      <c r="A29">
        <f>IF([[#This Row],Month]="","",ROW()-4)</f>
        <v>0</v>
      </c>
      <c r="F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0" spans="1:6">
      <c r="A30">
        <f>IF([[#This Row],Month]="","",ROW()-4)</f>
        <v>0</v>
      </c>
      <c r="F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1" spans="1:6">
      <c r="A31">
        <f>IF([[#This Row],Month]="","",ROW()-4)</f>
        <v>0</v>
      </c>
      <c r="F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2" spans="1:6">
      <c r="A32">
        <f>IF([[#This Row],Month]="","",ROW()-4)</f>
        <v>0</v>
      </c>
      <c r="F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3" spans="1:6">
      <c r="A33">
        <f>IF([[#This Row],Month]="","",ROW()-4)</f>
        <v>0</v>
      </c>
      <c r="F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4" spans="1:6">
      <c r="A34">
        <f>IF([[#This Row],Month]="","",ROW()-4)</f>
        <v>0</v>
      </c>
      <c r="F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5" spans="1:6">
      <c r="A35">
        <f>IF([[#This Row],Month]="","",ROW()-4)</f>
        <v>0</v>
      </c>
      <c r="F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6" spans="1:6">
      <c r="A36">
        <f>IF([[#This Row],Month]="","",ROW()-4)</f>
        <v>0</v>
      </c>
      <c r="F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7" spans="1:6">
      <c r="A37">
        <f>IF([[#This Row],Month]="","",ROW()-4)</f>
        <v>0</v>
      </c>
      <c r="F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8" spans="1:6">
      <c r="A38">
        <f>IF([[#This Row],Month]="","",ROW()-4)</f>
        <v>0</v>
      </c>
      <c r="F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39" spans="1:6">
      <c r="A39">
        <f>IF([[#This Row],Month]="","",ROW()-4)</f>
        <v>0</v>
      </c>
      <c r="F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0" spans="1:6">
      <c r="A40">
        <f>IF([[#This Row],Month]="","",ROW()-4)</f>
        <v>0</v>
      </c>
      <c r="F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1" spans="1:6">
      <c r="A41">
        <f>IF([[#This Row],Month]="","",ROW()-4)</f>
        <v>0</v>
      </c>
      <c r="F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2" spans="1:6">
      <c r="A42">
        <f>IF([[#This Row],Month]="","",ROW()-4)</f>
        <v>0</v>
      </c>
      <c r="F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3" spans="1:6">
      <c r="A43">
        <f>IF([[#This Row],Month]="","",ROW()-4)</f>
        <v>0</v>
      </c>
      <c r="F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4" spans="1:6">
      <c r="A44">
        <f>IF([[#This Row],Month]="","",ROW()-4)</f>
        <v>0</v>
      </c>
      <c r="F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5" spans="1:6">
      <c r="A45">
        <f>IF([[#This Row],Month]="","",ROW()-4)</f>
        <v>0</v>
      </c>
      <c r="F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6" spans="1:6">
      <c r="A46">
        <f>IF([[#This Row],Month]="","",ROW()-4)</f>
        <v>0</v>
      </c>
      <c r="F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7" spans="1:6">
      <c r="A47">
        <f>IF([[#This Row],Month]="","",ROW()-4)</f>
        <v>0</v>
      </c>
      <c r="F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8" spans="1:6">
      <c r="A48">
        <f>IF([[#This Row],Month]="","",ROW()-4)</f>
        <v>0</v>
      </c>
      <c r="F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49" spans="1:6">
      <c r="A49">
        <f>IF([[#This Row],Month]="","",ROW()-4)</f>
        <v>0</v>
      </c>
      <c r="F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0" spans="1:6">
      <c r="A50">
        <f>IF([[#This Row],Month]="","",ROW()-4)</f>
        <v>0</v>
      </c>
      <c r="F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1" spans="1:6">
      <c r="A51">
        <f>IF([[#This Row],Month]="","",ROW()-4)</f>
        <v>0</v>
      </c>
      <c r="F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2" spans="1:6">
      <c r="A52">
        <f>IF([[#This Row],Month]="","",ROW()-4)</f>
        <v>0</v>
      </c>
      <c r="F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3" spans="1:6">
      <c r="A53">
        <f>IF([[#This Row],Month]="","",ROW()-4)</f>
        <v>0</v>
      </c>
      <c r="F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4" spans="1:6">
      <c r="A54">
        <f>IF([[#This Row],Month]="","",ROW()-4)</f>
        <v>0</v>
      </c>
      <c r="F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5" spans="1:6">
      <c r="A55">
        <f>IF([[#This Row],Month]="","",ROW()-4)</f>
        <v>0</v>
      </c>
      <c r="F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6" spans="1:6">
      <c r="A56">
        <f>IF([[#This Row],Month]="","",ROW()-4)</f>
        <v>0</v>
      </c>
      <c r="F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7" spans="1:6">
      <c r="A57">
        <f>IF([[#This Row],Month]="","",ROW()-4)</f>
        <v>0</v>
      </c>
      <c r="F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8" spans="1:6">
      <c r="A58">
        <f>IF([[#This Row],Month]="","",ROW()-4)</f>
        <v>0</v>
      </c>
      <c r="F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59" spans="1:6">
      <c r="A59">
        <f>IF([[#This Row],Month]="","",ROW()-4)</f>
        <v>0</v>
      </c>
      <c r="F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0" spans="1:6">
      <c r="A60">
        <f>IF([[#This Row],Month]="","",ROW()-4)</f>
        <v>0</v>
      </c>
      <c r="F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1" spans="1:6">
      <c r="A61">
        <f>IF([[#This Row],Month]="","",ROW()-4)</f>
        <v>0</v>
      </c>
      <c r="F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2" spans="1:6">
      <c r="A62">
        <f>IF([[#This Row],Month]="","",ROW()-4)</f>
        <v>0</v>
      </c>
      <c r="F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3" spans="1:6">
      <c r="A63">
        <f>IF([[#This Row],Month]="","",ROW()-4)</f>
        <v>0</v>
      </c>
      <c r="F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4" spans="1:6">
      <c r="A64">
        <f>IF([[#This Row],Month]="","",ROW()-4)</f>
        <v>0</v>
      </c>
      <c r="F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5" spans="1:6">
      <c r="A65">
        <f>IF([[#This Row],Month]="","",ROW()-4)</f>
        <v>0</v>
      </c>
      <c r="F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6" spans="1:6">
      <c r="A66">
        <f>IF([[#This Row],Month]="","",ROW()-4)</f>
        <v>0</v>
      </c>
      <c r="F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7" spans="1:6">
      <c r="A67">
        <f>IF([[#This Row],Month]="","",ROW()-4)</f>
        <v>0</v>
      </c>
      <c r="F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8" spans="1:6">
      <c r="A68">
        <f>IF([[#This Row],Month]="","",ROW()-4)</f>
        <v>0</v>
      </c>
      <c r="F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69" spans="1:6">
      <c r="A69">
        <f>IF([[#This Row],Month]="","",ROW()-4)</f>
        <v>0</v>
      </c>
      <c r="F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0" spans="1:6">
      <c r="A70">
        <f>IF([[#This Row],Month]="","",ROW()-4)</f>
        <v>0</v>
      </c>
      <c r="F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1" spans="1:6">
      <c r="A71">
        <f>IF([[#This Row],Month]="","",ROW()-4)</f>
        <v>0</v>
      </c>
      <c r="F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2" spans="1:6">
      <c r="A72">
        <f>IF([[#This Row],Month]="","",ROW()-4)</f>
        <v>0</v>
      </c>
      <c r="F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3" spans="1:6">
      <c r="A73">
        <f>IF([[#This Row],Month]="","",ROW()-4)</f>
        <v>0</v>
      </c>
      <c r="F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4" spans="1:6">
      <c r="A74">
        <f>IF([[#This Row],Month]="","",ROW()-4)</f>
        <v>0</v>
      </c>
      <c r="F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5" spans="1:6">
      <c r="A75">
        <f>IF([[#This Row],Month]="","",ROW()-4)</f>
        <v>0</v>
      </c>
      <c r="F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6" spans="1:6">
      <c r="A76">
        <f>IF([[#This Row],Month]="","",ROW()-4)</f>
        <v>0</v>
      </c>
      <c r="F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7" spans="1:6">
      <c r="A77">
        <f>IF([[#This Row],Month]="","",ROW()-4)</f>
        <v>0</v>
      </c>
      <c r="F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8" spans="1:6">
      <c r="A78">
        <f>IF([[#This Row],Month]="","",ROW()-4)</f>
        <v>0</v>
      </c>
      <c r="F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79" spans="1:6">
      <c r="A79">
        <f>IF([[#This Row],Month]="","",ROW()-4)</f>
        <v>0</v>
      </c>
      <c r="F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0" spans="1:6">
      <c r="A80">
        <f>IF([[#This Row],Month]="","",ROW()-4)</f>
        <v>0</v>
      </c>
      <c r="F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1" spans="1:6">
      <c r="A81">
        <f>IF([[#This Row],Month]="","",ROW()-4)</f>
        <v>0</v>
      </c>
      <c r="F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2" spans="1:6">
      <c r="A82">
        <f>IF([[#This Row],Month]="","",ROW()-4)</f>
        <v>0</v>
      </c>
      <c r="F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3" spans="1:6">
      <c r="A83">
        <f>IF([[#This Row],Month]="","",ROW()-4)</f>
        <v>0</v>
      </c>
      <c r="F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4" spans="1:6">
      <c r="A84">
        <f>IF([[#This Row],Month]="","",ROW()-4)</f>
        <v>0</v>
      </c>
      <c r="F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5" spans="1:6">
      <c r="A85">
        <f>IF([[#This Row],Month]="","",ROW()-4)</f>
        <v>0</v>
      </c>
      <c r="F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6" spans="1:6">
      <c r="A86">
        <f>IF([[#This Row],Month]="","",ROW()-4)</f>
        <v>0</v>
      </c>
      <c r="F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7" spans="1:6">
      <c r="A87">
        <f>IF([[#This Row],Month]="","",ROW()-4)</f>
        <v>0</v>
      </c>
      <c r="F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8" spans="1:6">
      <c r="A88">
        <f>IF([[#This Row],Month]="","",ROW()-4)</f>
        <v>0</v>
      </c>
      <c r="F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89" spans="1:6">
      <c r="A89">
        <f>IF([[#This Row],Month]="","",ROW()-4)</f>
        <v>0</v>
      </c>
      <c r="F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0" spans="1:6">
      <c r="A90">
        <f>IF([[#This Row],Month]="","",ROW()-4)</f>
        <v>0</v>
      </c>
      <c r="F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1" spans="1:6">
      <c r="A91">
        <f>IF([[#This Row],Month]="","",ROW()-4)</f>
        <v>0</v>
      </c>
      <c r="F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2" spans="1:6">
      <c r="A92">
        <f>IF([[#This Row],Month]="","",ROW()-4)</f>
        <v>0</v>
      </c>
      <c r="F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3" spans="1:6">
      <c r="A93">
        <f>IF([[#This Row],Month]="","",ROW()-4)</f>
        <v>0</v>
      </c>
      <c r="F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4" spans="1:6">
      <c r="A94">
        <f>IF([[#This Row],Month]="","",ROW()-4)</f>
        <v>0</v>
      </c>
      <c r="F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5" spans="1:6">
      <c r="A95">
        <f>IF([[#This Row],Month]="","",ROW()-4)</f>
        <v>0</v>
      </c>
      <c r="F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6" spans="1:6">
      <c r="A96">
        <f>IF([[#This Row],Month]="","",ROW()-4)</f>
        <v>0</v>
      </c>
      <c r="F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7" spans="1:6">
      <c r="A97">
        <f>IF([[#This Row],Month]="","",ROW()-4)</f>
        <v>0</v>
      </c>
      <c r="F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8" spans="1:6">
      <c r="A98">
        <f>IF([[#This Row],Month]="","",ROW()-4)</f>
        <v>0</v>
      </c>
      <c r="F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99" spans="1:6">
      <c r="A99">
        <f>IF([[#This Row],Month]="","",ROW()-4)</f>
        <v>0</v>
      </c>
      <c r="F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0" spans="1:6">
      <c r="A100">
        <f>IF([[#This Row],Month]="","",ROW()-4)</f>
        <v>0</v>
      </c>
      <c r="F1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1" spans="1:6">
      <c r="A101">
        <f>IF([[#This Row],Month]="","",ROW()-4)</f>
        <v>0</v>
      </c>
      <c r="F1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2" spans="1:6">
      <c r="A102">
        <f>IF([[#This Row],Month]="","",ROW()-4)</f>
        <v>0</v>
      </c>
      <c r="F1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3" spans="1:6">
      <c r="A103">
        <f>IF([[#This Row],Month]="","",ROW()-4)</f>
        <v>0</v>
      </c>
      <c r="F1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4" spans="1:6">
      <c r="A104">
        <f>IF([[#This Row],Month]="","",ROW()-4)</f>
        <v>0</v>
      </c>
      <c r="F1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5" spans="1:6">
      <c r="A105">
        <f>IF([[#This Row],Month]="","",ROW()-4)</f>
        <v>0</v>
      </c>
      <c r="F10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6" spans="1:6">
      <c r="A106">
        <f>IF([[#This Row],Month]="","",ROW()-4)</f>
        <v>0</v>
      </c>
      <c r="F10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7" spans="1:6">
      <c r="A107">
        <f>IF([[#This Row],Month]="","",ROW()-4)</f>
        <v>0</v>
      </c>
      <c r="F10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8" spans="1:6">
      <c r="A108">
        <f>IF([[#This Row],Month]="","",ROW()-4)</f>
        <v>0</v>
      </c>
      <c r="F10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09" spans="1:6">
      <c r="A109">
        <f>IF([[#This Row],Month]="","",ROW()-4)</f>
        <v>0</v>
      </c>
      <c r="F10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0" spans="1:6">
      <c r="A110">
        <f>IF([[#This Row],Month]="","",ROW()-4)</f>
        <v>0</v>
      </c>
      <c r="F11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1" spans="1:6">
      <c r="A111">
        <f>IF([[#This Row],Month]="","",ROW()-4)</f>
        <v>0</v>
      </c>
      <c r="F11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2" spans="1:6">
      <c r="A112">
        <f>IF([[#This Row],Month]="","",ROW()-4)</f>
        <v>0</v>
      </c>
      <c r="F11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3" spans="1:6">
      <c r="A113">
        <f>IF([[#This Row],Month]="","",ROW()-4)</f>
        <v>0</v>
      </c>
      <c r="F11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4" spans="1:6">
      <c r="A114">
        <f>IF([[#This Row],Month]="","",ROW()-4)</f>
        <v>0</v>
      </c>
      <c r="F11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5" spans="1:6">
      <c r="A115">
        <f>IF([[#This Row],Month]="","",ROW()-4)</f>
        <v>0</v>
      </c>
      <c r="F11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6" spans="1:6">
      <c r="A116">
        <f>IF([[#This Row],Month]="","",ROW()-4)</f>
        <v>0</v>
      </c>
      <c r="F11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7" spans="1:6">
      <c r="A117">
        <f>IF([[#This Row],Month]="","",ROW()-4)</f>
        <v>0</v>
      </c>
      <c r="F11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8" spans="1:6">
      <c r="A118">
        <f>IF([[#This Row],Month]="","",ROW()-4)</f>
        <v>0</v>
      </c>
      <c r="F11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19" spans="1:6">
      <c r="A119">
        <f>IF([[#This Row],Month]="","",ROW()-4)</f>
        <v>0</v>
      </c>
      <c r="F11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0" spans="1:6">
      <c r="A120">
        <f>IF([[#This Row],Month]="","",ROW()-4)</f>
        <v>0</v>
      </c>
      <c r="F12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1" spans="1:6">
      <c r="A121">
        <f>IF([[#This Row],Month]="","",ROW()-4)</f>
        <v>0</v>
      </c>
      <c r="F12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2" spans="1:6">
      <c r="A122">
        <f>IF([[#This Row],Month]="","",ROW()-4)</f>
        <v>0</v>
      </c>
      <c r="F12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3" spans="1:6">
      <c r="A123">
        <f>IF([[#This Row],Month]="","",ROW()-4)</f>
        <v>0</v>
      </c>
      <c r="F12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4" spans="1:6">
      <c r="A124">
        <f>IF([[#This Row],Month]="","",ROW()-4)</f>
        <v>0</v>
      </c>
      <c r="F12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5" spans="1:6">
      <c r="A125">
        <f>IF([[#This Row],Month]="","",ROW()-4)</f>
        <v>0</v>
      </c>
      <c r="F12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6" spans="1:6">
      <c r="A126">
        <f>IF([[#This Row],Month]="","",ROW()-4)</f>
        <v>0</v>
      </c>
      <c r="F12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7" spans="1:6">
      <c r="A127">
        <f>IF([[#This Row],Month]="","",ROW()-4)</f>
        <v>0</v>
      </c>
      <c r="F12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8" spans="1:6">
      <c r="A128">
        <f>IF([[#This Row],Month]="","",ROW()-4)</f>
        <v>0</v>
      </c>
      <c r="F12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29" spans="1:6">
      <c r="A129">
        <f>IF([[#This Row],Month]="","",ROW()-4)</f>
        <v>0</v>
      </c>
      <c r="F12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0" spans="1:6">
      <c r="A130">
        <f>IF([[#This Row],Month]="","",ROW()-4)</f>
        <v>0</v>
      </c>
      <c r="F13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1" spans="1:6">
      <c r="A131">
        <f>IF([[#This Row],Month]="","",ROW()-4)</f>
        <v>0</v>
      </c>
      <c r="F13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2" spans="1:6">
      <c r="A132">
        <f>IF([[#This Row],Month]="","",ROW()-4)</f>
        <v>0</v>
      </c>
      <c r="F13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3" spans="1:6">
      <c r="A133">
        <f>IF([[#This Row],Month]="","",ROW()-4)</f>
        <v>0</v>
      </c>
      <c r="F13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4" spans="1:6">
      <c r="A134">
        <f>IF([[#This Row],Month]="","",ROW()-4)</f>
        <v>0</v>
      </c>
      <c r="F13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5" spans="1:6">
      <c r="A135">
        <f>IF([[#This Row],Month]="","",ROW()-4)</f>
        <v>0</v>
      </c>
      <c r="F13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6" spans="1:6">
      <c r="A136">
        <f>IF([[#This Row],Month]="","",ROW()-4)</f>
        <v>0</v>
      </c>
      <c r="F13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7" spans="1:6">
      <c r="A137">
        <f>IF([[#This Row],Month]="","",ROW()-4)</f>
        <v>0</v>
      </c>
      <c r="F13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8" spans="1:6">
      <c r="A138">
        <f>IF([[#This Row],Month]="","",ROW()-4)</f>
        <v>0</v>
      </c>
      <c r="F13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39" spans="1:6">
      <c r="A139">
        <f>IF([[#This Row],Month]="","",ROW()-4)</f>
        <v>0</v>
      </c>
      <c r="F13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0" spans="1:6">
      <c r="A140">
        <f>IF([[#This Row],Month]="","",ROW()-4)</f>
        <v>0</v>
      </c>
      <c r="F14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1" spans="1:6">
      <c r="A141">
        <f>IF([[#This Row],Month]="","",ROW()-4)</f>
        <v>0</v>
      </c>
      <c r="F14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2" spans="1:6">
      <c r="A142">
        <f>IF([[#This Row],Month]="","",ROW()-4)</f>
        <v>0</v>
      </c>
      <c r="F14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3" spans="1:6">
      <c r="A143">
        <f>IF([[#This Row],Month]="","",ROW()-4)</f>
        <v>0</v>
      </c>
      <c r="F14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4" spans="1:6">
      <c r="A144">
        <f>IF([[#This Row],Month]="","",ROW()-4)</f>
        <v>0</v>
      </c>
      <c r="F14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5" spans="1:6">
      <c r="A145">
        <f>IF([[#This Row],Month]="","",ROW()-4)</f>
        <v>0</v>
      </c>
      <c r="F14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6" spans="1:6">
      <c r="A146">
        <f>IF([[#This Row],Month]="","",ROW()-4)</f>
        <v>0</v>
      </c>
      <c r="F14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7" spans="1:6">
      <c r="A147">
        <f>IF([[#This Row],Month]="","",ROW()-4)</f>
        <v>0</v>
      </c>
      <c r="F14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8" spans="1:6">
      <c r="A148">
        <f>IF([[#This Row],Month]="","",ROW()-4)</f>
        <v>0</v>
      </c>
      <c r="F14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49" spans="1:6">
      <c r="A149">
        <f>IF([[#This Row],Month]="","",ROW()-4)</f>
        <v>0</v>
      </c>
      <c r="F14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0" spans="1:6">
      <c r="A150">
        <f>IF([[#This Row],Month]="","",ROW()-4)</f>
        <v>0</v>
      </c>
      <c r="F15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1" spans="1:6">
      <c r="A151">
        <f>IF([[#This Row],Month]="","",ROW()-4)</f>
        <v>0</v>
      </c>
      <c r="F15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2" spans="1:6">
      <c r="A152">
        <f>IF([[#This Row],Month]="","",ROW()-4)</f>
        <v>0</v>
      </c>
      <c r="F15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3" spans="1:6">
      <c r="A153">
        <f>IF([[#This Row],Month]="","",ROW()-4)</f>
        <v>0</v>
      </c>
      <c r="F15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4" spans="1:6">
      <c r="A154">
        <f>IF([[#This Row],Month]="","",ROW()-4)</f>
        <v>0</v>
      </c>
      <c r="F15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5" spans="1:6">
      <c r="A155">
        <f>IF([[#This Row],Month]="","",ROW()-4)</f>
        <v>0</v>
      </c>
      <c r="F15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6" spans="1:6">
      <c r="A156">
        <f>IF([[#This Row],Month]="","",ROW()-4)</f>
        <v>0</v>
      </c>
      <c r="F15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7" spans="1:6">
      <c r="A157">
        <f>IF([[#This Row],Month]="","",ROW()-4)</f>
        <v>0</v>
      </c>
      <c r="F15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8" spans="1:6">
      <c r="A158">
        <f>IF([[#This Row],Month]="","",ROW()-4)</f>
        <v>0</v>
      </c>
      <c r="F15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59" spans="1:6">
      <c r="A159">
        <f>IF([[#This Row],Month]="","",ROW()-4)</f>
        <v>0</v>
      </c>
      <c r="F15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0" spans="1:6">
      <c r="A160">
        <f>IF([[#This Row],Month]="","",ROW()-4)</f>
        <v>0</v>
      </c>
      <c r="F16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1" spans="1:6">
      <c r="A161">
        <f>IF([[#This Row],Month]="","",ROW()-4)</f>
        <v>0</v>
      </c>
      <c r="F16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2" spans="1:6">
      <c r="A162">
        <f>IF([[#This Row],Month]="","",ROW()-4)</f>
        <v>0</v>
      </c>
      <c r="F16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3" spans="1:6">
      <c r="A163">
        <f>IF([[#This Row],Month]="","",ROW()-4)</f>
        <v>0</v>
      </c>
      <c r="F16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4" spans="1:6">
      <c r="A164">
        <f>IF([[#This Row],Month]="","",ROW()-4)</f>
        <v>0</v>
      </c>
      <c r="F16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5" spans="1:6">
      <c r="A165">
        <f>IF([[#This Row],Month]="","",ROW()-4)</f>
        <v>0</v>
      </c>
      <c r="F16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6" spans="1:6">
      <c r="A166">
        <f>IF([[#This Row],Month]="","",ROW()-4)</f>
        <v>0</v>
      </c>
      <c r="F16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7" spans="1:6">
      <c r="A167">
        <f>IF([[#This Row],Month]="","",ROW()-4)</f>
        <v>0</v>
      </c>
      <c r="F16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8" spans="1:6">
      <c r="A168">
        <f>IF([[#This Row],Month]="","",ROW()-4)</f>
        <v>0</v>
      </c>
      <c r="F16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69" spans="1:6">
      <c r="A169">
        <f>IF([[#This Row],Month]="","",ROW()-4)</f>
        <v>0</v>
      </c>
      <c r="F16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0" spans="1:6">
      <c r="A170">
        <f>IF([[#This Row],Month]="","",ROW()-4)</f>
        <v>0</v>
      </c>
      <c r="F17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1" spans="1:6">
      <c r="A171">
        <f>IF([[#This Row],Month]="","",ROW()-4)</f>
        <v>0</v>
      </c>
      <c r="F17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2" spans="1:6">
      <c r="A172">
        <f>IF([[#This Row],Month]="","",ROW()-4)</f>
        <v>0</v>
      </c>
      <c r="F17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3" spans="1:6">
      <c r="A173">
        <f>IF([[#This Row],Month]="","",ROW()-4)</f>
        <v>0</v>
      </c>
      <c r="F17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4" spans="1:6">
      <c r="A174">
        <f>IF([[#This Row],Month]="","",ROW()-4)</f>
        <v>0</v>
      </c>
      <c r="F17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5" spans="1:6">
      <c r="A175">
        <f>IF([[#This Row],Month]="","",ROW()-4)</f>
        <v>0</v>
      </c>
      <c r="F17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6" spans="1:6">
      <c r="A176">
        <f>IF([[#This Row],Month]="","",ROW()-4)</f>
        <v>0</v>
      </c>
      <c r="F17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7" spans="1:6">
      <c r="A177">
        <f>IF([[#This Row],Month]="","",ROW()-4)</f>
        <v>0</v>
      </c>
      <c r="F17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8" spans="1:6">
      <c r="A178">
        <f>IF([[#This Row],Month]="","",ROW()-4)</f>
        <v>0</v>
      </c>
      <c r="F17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79" spans="1:6">
      <c r="A179">
        <f>IF([[#This Row],Month]="","",ROW()-4)</f>
        <v>0</v>
      </c>
      <c r="F17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0" spans="1:6">
      <c r="A180">
        <f>IF([[#This Row],Month]="","",ROW()-4)</f>
        <v>0</v>
      </c>
      <c r="F18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1" spans="1:6">
      <c r="A181">
        <f>IF([[#This Row],Month]="","",ROW()-4)</f>
        <v>0</v>
      </c>
      <c r="F18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2" spans="1:6">
      <c r="A182">
        <f>IF([[#This Row],Month]="","",ROW()-4)</f>
        <v>0</v>
      </c>
      <c r="F18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3" spans="1:6">
      <c r="A183">
        <f>IF([[#This Row],Month]="","",ROW()-4)</f>
        <v>0</v>
      </c>
      <c r="F18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4" spans="1:6">
      <c r="A184">
        <f>IF([[#This Row],Month]="","",ROW()-4)</f>
        <v>0</v>
      </c>
      <c r="F18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5" spans="1:6">
      <c r="A185">
        <f>IF([[#This Row],Month]="","",ROW()-4)</f>
        <v>0</v>
      </c>
      <c r="F18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6" spans="1:6">
      <c r="A186">
        <f>IF([[#This Row],Month]="","",ROW()-4)</f>
        <v>0</v>
      </c>
      <c r="F18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7" spans="1:6">
      <c r="A187">
        <f>IF([[#This Row],Month]="","",ROW()-4)</f>
        <v>0</v>
      </c>
      <c r="F18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8" spans="1:6">
      <c r="A188">
        <f>IF([[#This Row],Month]="","",ROW()-4)</f>
        <v>0</v>
      </c>
      <c r="F18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89" spans="1:6">
      <c r="A189">
        <f>IF([[#This Row],Month]="","",ROW()-4)</f>
        <v>0</v>
      </c>
      <c r="F18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0" spans="1:6">
      <c r="A190">
        <f>IF([[#This Row],Month]="","",ROW()-4)</f>
        <v>0</v>
      </c>
      <c r="F19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1" spans="1:6">
      <c r="A191">
        <f>IF([[#This Row],Month]="","",ROW()-4)</f>
        <v>0</v>
      </c>
      <c r="F19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2" spans="1:6">
      <c r="A192">
        <f>IF([[#This Row],Month]="","",ROW()-4)</f>
        <v>0</v>
      </c>
      <c r="F19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3" spans="1:6">
      <c r="A193">
        <f>IF([[#This Row],Month]="","",ROW()-4)</f>
        <v>0</v>
      </c>
      <c r="F19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4" spans="1:6">
      <c r="A194">
        <f>IF([[#This Row],Month]="","",ROW()-4)</f>
        <v>0</v>
      </c>
      <c r="F19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5" spans="1:6">
      <c r="A195">
        <f>IF([[#This Row],Month]="","",ROW()-4)</f>
        <v>0</v>
      </c>
      <c r="F195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6" spans="1:6">
      <c r="A196">
        <f>IF([[#This Row],Month]="","",ROW()-4)</f>
        <v>0</v>
      </c>
      <c r="F196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7" spans="1:6">
      <c r="A197">
        <f>IF([[#This Row],Month]="","",ROW()-4)</f>
        <v>0</v>
      </c>
      <c r="F197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8" spans="1:6">
      <c r="A198">
        <f>IF([[#This Row],Month]="","",ROW()-4)</f>
        <v>0</v>
      </c>
      <c r="F198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199" spans="1:6">
      <c r="A199">
        <f>IF([[#This Row],Month]="","",ROW()-4)</f>
        <v>0</v>
      </c>
      <c r="F199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0" spans="1:6">
      <c r="A200">
        <f>IF([[#This Row],Month]="","",ROW()-4)</f>
        <v>0</v>
      </c>
      <c r="F200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1" spans="1:6">
      <c r="A201">
        <f>IF([[#This Row],Month]="","",ROW()-4)</f>
        <v>0</v>
      </c>
      <c r="F201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2" spans="1:6">
      <c r="A202">
        <f>IF([[#This Row],Month]="","",ROW()-4)</f>
        <v>0</v>
      </c>
      <c r="F202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3" spans="1:6">
      <c r="A203">
        <f>IF([[#This Row],Month]="","",ROW()-4)</f>
        <v>0</v>
      </c>
      <c r="F203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  <row r="204" spans="1:6">
      <c r="A204">
        <f>IF([[#This Row],Month]="","",ROW()-4)</f>
        <v>0</v>
      </c>
      <c r="F204">
        <f>IF(AND([[#This Row],[Waste Recycled (kg)]]&lt;&gt;"",[[#This Row],[Waste Landfill (kg)]]&lt;&gt;"",([[#This Row],[Waste Recycled (kg)]]+[[#This Row],[Waste Landfill (kg)]])&gt;0),ROUND([[#This Row],[Waste Recycled (kg)]]/([[#This Row],[Waste Recycled (kg)]]+[[#This Row],[Waste Landfill (kg)]])*100,1),"")</f>
        <v>0</v>
      </c>
    </row>
  </sheetData>
  <mergeCells count="1">
    <mergeCell ref="A1:L3"/>
  </mergeCells>
  <conditionalFormatting sqref="F5:F204">
    <cfRule type="cellIs" dxfId="3" priority="1" operator="greaterThanOrEqual">
      <formula>80</formula>
    </cfRule>
    <cfRule type="cellIs" dxfId="2" priority="2" operator="greaterThanOrEqual">
      <formula>60</formula>
    </cfRule>
    <cfRule type="cellIs" dxfId="0" priority="3" operator="lessThan">
      <formula>60</formula>
    </cfRule>
  </conditionalFormatting>
  <conditionalFormatting sqref="J5:J204">
    <cfRule type="cellIs" dxfId="0" priority="4" operator="greaterThan">
      <formula>0</formula>
    </cfRule>
  </conditionalFormatting>
  <conditionalFormatting sqref="K5:K204">
    <cfRule type="cellIs" dxfId="0" priority="5" operator="greaterThan">
      <formula>0</formula>
    </cfRule>
  </conditionalFormatting>
  <dataValidations count="2">
    <dataValidation type="list" allowBlank="1" showInputMessage="1" showErrorMessage="1" sqref="B5:B204">
      <formula1>SETUP!$I$2:$I$13</formula1>
    </dataValidation>
    <dataValidation type="whole" allowBlank="1" showInputMessage="1" showErrorMessage="1" sqref="C5:C204">
      <formula1>2020</formula1>
      <formula2>2035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FF87"/>
  </sheetPr>
  <dimension ref="A1:AR265"/>
  <sheetViews>
    <sheetView showGridLines="0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cols>
    <col min="1" max="1" width="21.7109375" customWidth="1"/>
    <col min="2" max="2" width="1.42578125" customWidth="1"/>
    <col min="3" max="44" width="4.28515625" customWidth="1"/>
  </cols>
  <sheetData>
    <row r="1" spans="3:44" ht="30" customHeight="1">
      <c r="C1" s="16" t="s">
        <v>219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7" t="s">
        <v>220</v>
      </c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8" t="s">
        <v>221</v>
      </c>
      <c r="AO1" s="18"/>
      <c r="AP1" s="18"/>
      <c r="AQ1" s="18"/>
      <c r="AR1" s="18"/>
    </row>
    <row r="2" spans="3:44" ht="20" customHeight="1"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  <c r="AO2" s="18"/>
      <c r="AP2" s="18"/>
      <c r="AQ2" s="18"/>
      <c r="AR2" s="18"/>
    </row>
    <row r="3" spans="3:44" ht="20" customHeight="1"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8"/>
      <c r="AO3" s="18"/>
      <c r="AP3" s="18"/>
      <c r="AQ3" s="18"/>
      <c r="AR3" s="18"/>
    </row>
    <row r="4" spans="3:44" ht="16" customHeight="1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8"/>
      <c r="AO4" s="18"/>
      <c r="AP4" s="18"/>
      <c r="AQ4" s="18"/>
      <c r="AR4" s="18"/>
    </row>
    <row r="5" spans="3:44" ht="18" customHeight="1"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</row>
    <row r="6" spans="3:44" ht="16" customHeight="1">
      <c r="C6" s="20" t="s">
        <v>222</v>
      </c>
      <c r="D6" s="20"/>
      <c r="E6" s="20"/>
      <c r="J6" s="20" t="s">
        <v>223</v>
      </c>
      <c r="K6" s="20"/>
      <c r="L6" s="20"/>
      <c r="Q6" s="20" t="s">
        <v>224</v>
      </c>
      <c r="R6" s="20"/>
      <c r="S6" s="20"/>
      <c r="X6" s="20" t="s">
        <v>225</v>
      </c>
      <c r="Y6" s="20"/>
      <c r="Z6" s="20"/>
    </row>
    <row r="7" spans="3:44" ht="24" customHeight="1">
      <c r="C7" s="21" t="s">
        <v>71</v>
      </c>
      <c r="D7" s="22"/>
      <c r="E7" s="22"/>
      <c r="F7" s="22"/>
      <c r="G7" s="22"/>
      <c r="H7" s="22"/>
      <c r="I7" s="21" t="s">
        <v>71</v>
      </c>
      <c r="J7" s="22"/>
      <c r="K7" s="22"/>
      <c r="L7" s="22"/>
      <c r="M7" s="22"/>
      <c r="N7" s="22"/>
      <c r="O7" s="22"/>
      <c r="P7" s="21" t="s">
        <v>71</v>
      </c>
      <c r="Q7" s="22"/>
      <c r="R7" s="22"/>
      <c r="S7" s="22"/>
      <c r="T7" s="22"/>
      <c r="U7" s="22"/>
      <c r="V7" s="21" t="s">
        <v>71</v>
      </c>
      <c r="W7" s="22"/>
      <c r="X7" s="22"/>
      <c r="Y7" s="22"/>
      <c r="Z7" s="22"/>
      <c r="AA7" s="22"/>
      <c r="AB7" s="22"/>
    </row>
    <row r="8" spans="3:44" ht="4" customHeight="1"/>
    <row r="9" spans="3:44" ht="12" customHeight="1"/>
    <row r="10" spans="3:44" ht="18" customHeight="1"/>
    <row r="11" spans="3:44" ht="18" customHeight="1">
      <c r="D11" s="23" t="s">
        <v>226</v>
      </c>
      <c r="E11" s="23"/>
      <c r="F11" s="24">
        <f>SUMPRODUCT((IncidentsTable[Date]&lt;&gt;"")*IF($C$7="All",1,(IncidentsTable[_Year]=IF(ISNUMBER($C$7),$C$7,VALUE($C$7))))*IF($I$7="All",1,(IncidentsTable[_Month]=$I$7))*IF($P$7="All",1,(IncidentsTable[Department]=$P$7))*IF($V$7="All",1,(IncidentsTable[Location]=$V$7)))</f>
        <v>0</v>
      </c>
      <c r="G11" s="24"/>
      <c r="H11" s="24"/>
      <c r="I11" s="24"/>
      <c r="K11" s="25" t="s">
        <v>229</v>
      </c>
      <c r="L11" s="25"/>
      <c r="M11" s="24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  <c r="N11" s="24"/>
      <c r="O11" s="24"/>
      <c r="P11" s="24"/>
      <c r="R11" s="26" t="s">
        <v>230</v>
      </c>
      <c r="S11" s="26"/>
      <c r="T11" s="24">
        <f>IFERROR(SUMPRODUCT((InspectionsTable[Score %]&lt;&gt;"")*IF($C$7="All",1,(InspectionsTable[_Year]=IF(ISNUMBER($C$7),$C$7,VALUE($C$7))))*IF($I$7="All",1,(InspectionsTable[_Month]=$I$7))*IF($P$7="All",1,(InspectionsTable[Department]=$P$7))*(InspectionsTable[Score %]))/SUMPRODUCT((InspectionsTable[Score %]&lt;&gt;"")*IF($C$7="All",1,(InspectionsTable[_Year]=IF(ISNUMBER($C$7),$C$7,VALUE($C$7))))*IF($I$7="All",1,(InspectionsTable[_Month]=$I$7))*IF($P$7="All",1,(InspectionsTable[Department]=$P$7))),"--")</f>
        <v>0</v>
      </c>
      <c r="U11" s="24"/>
      <c r="V11" s="24"/>
      <c r="W11" s="24"/>
      <c r="Y11" s="27" t="s">
        <v>232</v>
      </c>
      <c r="Z11" s="27"/>
      <c r="AA11" s="24">
        <f>IFERROR(SUMPRODUCT((TrainingTable[Auto-Status]="Complete")*IF($P$7="All",1,(TrainingTable[Department]=$P$7)))/SUMPRODUCT((TrainingTable[Auto-Status]&lt;&gt;"")*IF($P$7="All",1,(TrainingTable[Department]=$P$7)))*100,"--")</f>
        <v>0</v>
      </c>
      <c r="AB11" s="24"/>
      <c r="AC11" s="24"/>
      <c r="AD11" s="24"/>
      <c r="AF11" s="28" t="s">
        <v>234</v>
      </c>
      <c r="AG11" s="28"/>
      <c r="AH11" s="24">
        <f>IFERROR(SUMPRODUCT((InspectionsTable[Score %]&gt;=90)*IF($C$7="All",1,(InspectionsTable[_Year]=IF(ISNUMBER($C$7),$C$7,VALUE($C$7))))*IF($I$7="All",1,(InspectionsTable[_Month]=$I$7))*IF($P$7="All",1,(InspectionsTable[Department]=$P$7)))/SUMPRODUCT((InspectionsTable[Score %]&lt;&gt;"")*IF($C$7="All",1,(InspectionsTable[_Year]=IF(ISNUMBER($C$7),$C$7,VALUE($C$7))))*IF($I$7="All",1,(InspectionsTable[_Month]=$I$7))*IF($P$7="All",1,(InspectionsTable[Department]=$P$7)))*100,"--")</f>
        <v>0</v>
      </c>
      <c r="AI11" s="24"/>
      <c r="AJ11" s="24"/>
      <c r="AK11" s="24"/>
      <c r="AM11" s="29" t="s">
        <v>236</v>
      </c>
      <c r="AN11" s="29"/>
      <c r="AO11" s="24">
        <f>SUMPRODUCT((ActionsTable[Status]&lt;&gt;"Done")*(ActionsTable[Status]&lt;&gt;"Closed")*(ActionsTable[Status]&lt;&gt;"")*IF($P$7="All",1,(ActionsTable[Department]=$P$7)))</f>
        <v>0</v>
      </c>
      <c r="AP11" s="24"/>
      <c r="AQ11" s="24"/>
      <c r="AR11" s="24"/>
    </row>
    <row r="12" spans="3:44" ht="18" customHeight="1">
      <c r="D12" s="23"/>
      <c r="E12" s="23"/>
      <c r="F12" s="24"/>
      <c r="G12" s="24"/>
      <c r="H12" s="24"/>
      <c r="I12" s="24"/>
      <c r="K12" s="25"/>
      <c r="L12" s="25"/>
      <c r="M12" s="24"/>
      <c r="N12" s="24"/>
      <c r="O12" s="24"/>
      <c r="P12" s="24"/>
      <c r="R12" s="26"/>
      <c r="S12" s="26"/>
      <c r="T12" s="24"/>
      <c r="U12" s="24"/>
      <c r="V12" s="24"/>
      <c r="W12" s="24"/>
      <c r="Y12" s="27"/>
      <c r="Z12" s="27"/>
      <c r="AA12" s="24"/>
      <c r="AB12" s="24"/>
      <c r="AC12" s="24"/>
      <c r="AD12" s="24"/>
      <c r="AF12" s="28"/>
      <c r="AG12" s="28"/>
      <c r="AH12" s="24"/>
      <c r="AI12" s="24"/>
      <c r="AJ12" s="24"/>
      <c r="AK12" s="24"/>
      <c r="AM12" s="29"/>
      <c r="AN12" s="29"/>
      <c r="AO12" s="24"/>
      <c r="AP12" s="24"/>
      <c r="AQ12" s="24"/>
      <c r="AR12" s="24"/>
    </row>
    <row r="13" spans="3:44" ht="18" customHeight="1">
      <c r="D13" s="23"/>
      <c r="E13" s="23"/>
      <c r="F13" s="24"/>
      <c r="G13" s="24"/>
      <c r="H13" s="24"/>
      <c r="I13" s="24"/>
      <c r="K13" s="25"/>
      <c r="L13" s="25"/>
      <c r="M13" s="24"/>
      <c r="N13" s="24"/>
      <c r="O13" s="24"/>
      <c r="P13" s="24"/>
      <c r="R13" s="26"/>
      <c r="S13" s="26"/>
      <c r="T13" s="24"/>
      <c r="U13" s="24"/>
      <c r="V13" s="24"/>
      <c r="W13" s="24"/>
      <c r="Y13" s="27"/>
      <c r="Z13" s="27"/>
      <c r="AA13" s="24"/>
      <c r="AB13" s="24"/>
      <c r="AC13" s="24"/>
      <c r="AD13" s="24"/>
      <c r="AF13" s="28"/>
      <c r="AG13" s="28"/>
      <c r="AH13" s="24"/>
      <c r="AI13" s="24"/>
      <c r="AJ13" s="24"/>
      <c r="AK13" s="24"/>
      <c r="AM13" s="29"/>
      <c r="AN13" s="29"/>
      <c r="AO13" s="24"/>
      <c r="AP13" s="24"/>
      <c r="AQ13" s="24"/>
      <c r="AR13" s="24"/>
    </row>
    <row r="14" spans="3:44" ht="18" customHeight="1">
      <c r="D14" s="30" t="s">
        <v>227</v>
      </c>
      <c r="E14" s="30"/>
      <c r="F14" s="30"/>
      <c r="G14" s="30"/>
      <c r="H14" s="30"/>
      <c r="I14" s="30"/>
      <c r="K14" s="30" t="s">
        <v>21</v>
      </c>
      <c r="L14" s="30"/>
      <c r="M14" s="30"/>
      <c r="N14" s="30"/>
      <c r="O14" s="30"/>
      <c r="P14" s="30"/>
      <c r="R14" s="30" t="s">
        <v>231</v>
      </c>
      <c r="S14" s="30"/>
      <c r="T14" s="30"/>
      <c r="U14" s="30"/>
      <c r="V14" s="30"/>
      <c r="W14" s="30"/>
      <c r="Y14" s="30" t="s">
        <v>233</v>
      </c>
      <c r="Z14" s="30"/>
      <c r="AA14" s="30"/>
      <c r="AB14" s="30"/>
      <c r="AC14" s="30"/>
      <c r="AD14" s="30"/>
      <c r="AF14" s="30" t="s">
        <v>235</v>
      </c>
      <c r="AG14" s="30"/>
      <c r="AH14" s="30"/>
      <c r="AI14" s="30"/>
      <c r="AJ14" s="30"/>
      <c r="AK14" s="30"/>
      <c r="AM14" s="30" t="s">
        <v>237</v>
      </c>
      <c r="AN14" s="30"/>
      <c r="AO14" s="30"/>
      <c r="AP14" s="30"/>
      <c r="AQ14" s="30"/>
      <c r="AR14" s="30"/>
    </row>
    <row r="15" spans="3:44" ht="18" customHeight="1">
      <c r="D15" s="30"/>
      <c r="E15" s="30"/>
      <c r="F15" s="30"/>
      <c r="G15" s="30"/>
      <c r="H15" s="30"/>
      <c r="I15" s="30"/>
      <c r="K15" s="30"/>
      <c r="L15" s="30"/>
      <c r="M15" s="30"/>
      <c r="N15" s="30"/>
      <c r="O15" s="30"/>
      <c r="P15" s="30"/>
      <c r="R15" s="30"/>
      <c r="S15" s="30"/>
      <c r="T15" s="30"/>
      <c r="U15" s="30"/>
      <c r="V15" s="30"/>
      <c r="W15" s="30"/>
      <c r="Y15" s="30"/>
      <c r="Z15" s="30"/>
      <c r="AA15" s="30"/>
      <c r="AB15" s="30"/>
      <c r="AC15" s="30"/>
      <c r="AD15" s="30"/>
      <c r="AF15" s="30"/>
      <c r="AG15" s="30"/>
      <c r="AH15" s="30"/>
      <c r="AI15" s="30"/>
      <c r="AJ15" s="30"/>
      <c r="AK15" s="30"/>
      <c r="AM15" s="30"/>
      <c r="AN15" s="30"/>
      <c r="AO15" s="30"/>
      <c r="AP15" s="30"/>
      <c r="AQ15" s="30"/>
      <c r="AR15" s="30"/>
    </row>
    <row r="16" spans="3:44" ht="18" customHeight="1">
      <c r="D16" s="31" t="s">
        <v>228</v>
      </c>
      <c r="E16" s="31"/>
      <c r="F16" s="31"/>
      <c r="G16" s="31"/>
      <c r="H16" s="31"/>
      <c r="I16" s="31"/>
      <c r="K16" s="32" t="s">
        <v>228</v>
      </c>
      <c r="L16" s="32"/>
      <c r="M16" s="32"/>
      <c r="N16" s="32"/>
      <c r="O16" s="32"/>
      <c r="P16" s="32"/>
      <c r="R16" s="33" t="s">
        <v>228</v>
      </c>
      <c r="S16" s="33"/>
      <c r="T16" s="33"/>
      <c r="U16" s="33"/>
      <c r="V16" s="33"/>
      <c r="W16" s="33"/>
      <c r="Y16" s="34" t="s">
        <v>228</v>
      </c>
      <c r="Z16" s="34"/>
      <c r="AA16" s="34"/>
      <c r="AB16" s="34"/>
      <c r="AC16" s="34"/>
      <c r="AD16" s="34"/>
      <c r="AF16" s="35" t="s">
        <v>228</v>
      </c>
      <c r="AG16" s="35"/>
      <c r="AH16" s="35"/>
      <c r="AI16" s="35"/>
      <c r="AJ16" s="35"/>
      <c r="AK16" s="35"/>
      <c r="AM16" s="36" t="s">
        <v>228</v>
      </c>
      <c r="AN16" s="36"/>
      <c r="AO16" s="36"/>
      <c r="AP16" s="36"/>
      <c r="AQ16" s="36"/>
      <c r="AR16" s="36"/>
    </row>
    <row r="17" spans="3:44" ht="18" customHeight="1">
      <c r="D17" s="31"/>
      <c r="E17" s="31"/>
      <c r="F17" s="31"/>
      <c r="G17" s="31"/>
      <c r="H17" s="31"/>
      <c r="I17" s="31"/>
      <c r="K17" s="32"/>
      <c r="L17" s="32"/>
      <c r="M17" s="32"/>
      <c r="N17" s="32"/>
      <c r="O17" s="32"/>
      <c r="P17" s="32"/>
      <c r="R17" s="33"/>
      <c r="S17" s="33"/>
      <c r="T17" s="33"/>
      <c r="U17" s="33"/>
      <c r="V17" s="33"/>
      <c r="W17" s="33"/>
      <c r="Y17" s="34"/>
      <c r="Z17" s="34"/>
      <c r="AA17" s="34"/>
      <c r="AB17" s="34"/>
      <c r="AC17" s="34"/>
      <c r="AD17" s="34"/>
      <c r="AF17" s="35"/>
      <c r="AG17" s="35"/>
      <c r="AH17" s="35"/>
      <c r="AI17" s="35"/>
      <c r="AJ17" s="35"/>
      <c r="AK17" s="35"/>
      <c r="AM17" s="36"/>
      <c r="AN17" s="36"/>
      <c r="AO17" s="36"/>
      <c r="AP17" s="36"/>
      <c r="AQ17" s="36"/>
      <c r="AR17" s="36"/>
    </row>
    <row r="18" spans="3:44" ht="18" customHeight="1"/>
    <row r="19" spans="3:44" ht="4" customHeight="1"/>
    <row r="20" spans="3:44" ht="18" customHeight="1">
      <c r="C20" s="37" t="s">
        <v>238</v>
      </c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 t="s">
        <v>239</v>
      </c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 t="s">
        <v>240</v>
      </c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</row>
    <row r="21" spans="3:44" ht="6" customHeight="1"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</row>
    <row r="22" spans="3:44" ht="16" customHeight="1"/>
    <row r="23" spans="3:44" ht="10" customHeight="1"/>
    <row r="24" spans="3:44" ht="10" customHeight="1"/>
    <row r="25" spans="3:44" ht="10" customHeight="1"/>
    <row r="26" spans="3:44" ht="10" customHeight="1"/>
    <row r="27" spans="3:44" ht="10" customHeight="1"/>
    <row r="28" spans="3:44" ht="10" customHeight="1"/>
    <row r="29" spans="3:44" ht="10" customHeight="1"/>
    <row r="30" spans="3:44" ht="10" customHeight="1"/>
    <row r="31" spans="3:44" ht="10" customHeight="1"/>
    <row r="32" spans="3:44" ht="10" customHeight="1"/>
    <row r="33" spans="3:38" ht="10" customHeight="1"/>
    <row r="34" spans="3:38" ht="10" customHeight="1"/>
    <row r="35" spans="3:38" ht="10" customHeight="1"/>
    <row r="36" spans="3:38" ht="10" customHeight="1"/>
    <row r="37" spans="3:38" ht="10" customHeight="1"/>
    <row r="38" spans="3:38" ht="10" customHeight="1"/>
    <row r="39" spans="3:38" ht="10" customHeight="1"/>
    <row r="40" spans="3:38" ht="10" customHeight="1"/>
    <row r="41" spans="3:38" ht="10" customHeight="1"/>
    <row r="42" spans="3:38" ht="4" customHeight="1"/>
    <row r="43" spans="3:38" ht="18" customHeight="1">
      <c r="C43" s="37" t="s">
        <v>241</v>
      </c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 t="s">
        <v>242</v>
      </c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 t="s">
        <v>243</v>
      </c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</row>
    <row r="44" spans="3:38" ht="6" customHeight="1"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</row>
    <row r="45" spans="3:38" ht="16" customHeight="1"/>
    <row r="46" spans="3:38" ht="10" customHeight="1"/>
    <row r="47" spans="3:38" ht="10" customHeight="1"/>
    <row r="48" spans="3:38" ht="10" customHeight="1"/>
    <row r="49" ht="10" customHeight="1"/>
    <row r="50" ht="10" customHeight="1"/>
    <row r="51" ht="10" customHeight="1"/>
    <row r="52" ht="10" customHeight="1"/>
    <row r="53" ht="10" customHeight="1"/>
    <row r="54" ht="10" customHeight="1"/>
    <row r="55" ht="10" customHeight="1"/>
    <row r="56" ht="10" customHeight="1"/>
    <row r="57" ht="10" customHeight="1"/>
    <row r="58" ht="10" customHeight="1"/>
    <row r="59" ht="10" customHeight="1"/>
    <row r="60" ht="10" customHeight="1"/>
    <row r="61" ht="10" customHeight="1"/>
    <row r="62" ht="10" customHeight="1"/>
    <row r="63" ht="10" customHeight="1"/>
    <row r="64" ht="10" customHeight="1"/>
    <row r="65" ht="4" customHeight="1"/>
    <row r="66" ht="6" customHeight="1"/>
    <row r="67" ht="6" customHeight="1"/>
    <row r="68" ht="6" customHeight="1"/>
    <row r="69" ht="6" customHeight="1"/>
    <row r="70" ht="6" customHeight="1"/>
    <row r="71" ht="6" customHeight="1"/>
    <row r="72" ht="6" customHeight="1"/>
    <row r="73" ht="6" customHeight="1"/>
    <row r="74" ht="6" customHeight="1"/>
    <row r="75" ht="6" customHeight="1"/>
    <row r="76" ht="6" customHeight="1"/>
    <row r="77" ht="6" customHeight="1"/>
    <row r="78" ht="6" customHeight="1"/>
    <row r="79" ht="6" customHeight="1"/>
    <row r="80" ht="6" customHeight="1"/>
    <row r="81" spans="3:44" ht="6" customHeight="1"/>
    <row r="82" spans="3:44" ht="6" customHeight="1"/>
    <row r="83" spans="3:44" ht="6" customHeight="1"/>
    <row r="84" spans="3:44" ht="6" customHeight="1"/>
    <row r="85" spans="3:44" ht="6" customHeight="1"/>
    <row r="86" spans="3:44" ht="6" customHeight="1"/>
    <row r="87" spans="3:44" ht="6" customHeight="1"/>
    <row r="88" spans="3:44" ht="6" customHeight="1"/>
    <row r="89" spans="3:44" ht="20" customHeight="1"/>
    <row r="90" spans="3:44" ht="14" customHeight="1"/>
    <row r="91" spans="3:44" ht="6" customHeight="1"/>
    <row r="92" spans="3:44" ht="18" customHeight="1">
      <c r="C92" s="38" t="s">
        <v>245</v>
      </c>
      <c r="D92" s="38"/>
      <c r="E92" s="38"/>
      <c r="F92" s="38"/>
      <c r="G92" s="38"/>
      <c r="H92" s="38"/>
      <c r="I92" s="38"/>
      <c r="J92" s="38" t="s">
        <v>248</v>
      </c>
      <c r="K92" s="38"/>
      <c r="L92" s="38"/>
      <c r="M92" s="38"/>
      <c r="N92" s="38"/>
      <c r="O92" s="38"/>
      <c r="P92" s="38"/>
      <c r="Q92" s="38" t="s">
        <v>251</v>
      </c>
      <c r="R92" s="38"/>
      <c r="S92" s="38"/>
      <c r="T92" s="38"/>
      <c r="U92" s="38"/>
      <c r="V92" s="38"/>
      <c r="W92" s="38"/>
      <c r="X92" s="38" t="s">
        <v>254</v>
      </c>
      <c r="Y92" s="38"/>
      <c r="Z92" s="38"/>
      <c r="AA92" s="38"/>
      <c r="AB92" s="38"/>
      <c r="AC92" s="38"/>
      <c r="AD92" s="38"/>
      <c r="AE92" s="38" t="s">
        <v>257</v>
      </c>
      <c r="AF92" s="38"/>
      <c r="AG92" s="38"/>
      <c r="AH92" s="38"/>
      <c r="AI92" s="38"/>
      <c r="AJ92" s="38"/>
      <c r="AK92" s="38"/>
      <c r="AL92" s="38" t="s">
        <v>229</v>
      </c>
      <c r="AM92" s="38"/>
      <c r="AN92" s="38"/>
      <c r="AO92" s="38"/>
      <c r="AP92" s="38"/>
      <c r="AQ92" s="38"/>
      <c r="AR92" s="38"/>
    </row>
    <row r="93" spans="3:44" ht="18" customHeight="1">
      <c r="C93" s="39" t="s">
        <v>246</v>
      </c>
      <c r="D93" s="39"/>
      <c r="E93" s="39"/>
      <c r="F93" s="39"/>
      <c r="G93" s="39"/>
      <c r="H93" s="39"/>
      <c r="I93" s="39"/>
      <c r="J93" s="39" t="s">
        <v>249</v>
      </c>
      <c r="K93" s="39"/>
      <c r="L93" s="39"/>
      <c r="M93" s="39"/>
      <c r="N93" s="39"/>
      <c r="O93" s="39"/>
      <c r="P93" s="39"/>
      <c r="Q93" s="39" t="s">
        <v>252</v>
      </c>
      <c r="R93" s="39"/>
      <c r="S93" s="39"/>
      <c r="T93" s="39"/>
      <c r="U93" s="39"/>
      <c r="V93" s="39"/>
      <c r="W93" s="39"/>
      <c r="X93" s="39" t="s">
        <v>255</v>
      </c>
      <c r="Y93" s="39"/>
      <c r="Z93" s="39"/>
      <c r="AA93" s="39"/>
      <c r="AB93" s="39"/>
      <c r="AC93" s="39"/>
      <c r="AD93" s="39"/>
      <c r="AE93" s="39" t="s">
        <v>258</v>
      </c>
      <c r="AF93" s="39"/>
      <c r="AG93" s="39"/>
      <c r="AH93" s="39"/>
      <c r="AI93" s="39"/>
      <c r="AJ93" s="39"/>
      <c r="AK93" s="39"/>
      <c r="AL93" s="39" t="s">
        <v>260</v>
      </c>
      <c r="AM93" s="39"/>
      <c r="AN93" s="39"/>
      <c r="AO93" s="39"/>
      <c r="AP93" s="39"/>
      <c r="AQ93" s="39"/>
      <c r="AR93" s="39"/>
    </row>
    <row r="94" spans="3:44" ht="18" customHeight="1">
      <c r="C94" s="40" t="s">
        <v>247</v>
      </c>
      <c r="D94" s="40"/>
      <c r="E94" s="40"/>
      <c r="F94" s="40"/>
      <c r="G94" s="40"/>
      <c r="H94" s="40"/>
      <c r="I94" s="40"/>
      <c r="J94" s="40" t="s">
        <v>250</v>
      </c>
      <c r="K94" s="40"/>
      <c r="L94" s="40"/>
      <c r="M94" s="40"/>
      <c r="N94" s="40"/>
      <c r="O94" s="40"/>
      <c r="P94" s="40"/>
      <c r="Q94" s="40" t="s">
        <v>253</v>
      </c>
      <c r="R94" s="40"/>
      <c r="S94" s="40"/>
      <c r="T94" s="40"/>
      <c r="U94" s="40"/>
      <c r="V94" s="40"/>
      <c r="W94" s="40"/>
      <c r="X94" s="40" t="s">
        <v>256</v>
      </c>
      <c r="Y94" s="40"/>
      <c r="Z94" s="40"/>
      <c r="AA94" s="40"/>
      <c r="AB94" s="40"/>
      <c r="AC94" s="40"/>
      <c r="AD94" s="40"/>
      <c r="AE94" s="40" t="s">
        <v>259</v>
      </c>
      <c r="AF94" s="40"/>
      <c r="AG94" s="40"/>
      <c r="AH94" s="40"/>
      <c r="AI94" s="40"/>
      <c r="AJ94" s="40"/>
      <c r="AK94" s="40"/>
      <c r="AL94" s="40" t="s">
        <v>261</v>
      </c>
      <c r="AM94" s="40"/>
      <c r="AN94" s="40"/>
      <c r="AO94" s="40"/>
      <c r="AP94" s="40"/>
      <c r="AQ94" s="40"/>
      <c r="AR94" s="40"/>
    </row>
    <row r="95" spans="3:44" ht="18" customHeight="1"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</row>
    <row r="96" spans="3:44" ht="6" customHeight="1"/>
    <row r="97" spans="3:44" ht="22" customHeight="1">
      <c r="C97" s="41" t="s">
        <v>262</v>
      </c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41"/>
      <c r="AQ97" s="41"/>
      <c r="AR97" s="41"/>
    </row>
    <row r="98" spans="3:44" ht="22" customHeight="1"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41"/>
      <c r="AQ98" s="41"/>
      <c r="AR98" s="41"/>
    </row>
    <row r="99" spans="3:44" ht="6" customHeight="1"/>
    <row r="100" spans="3:44" ht="6" customHeight="1"/>
    <row r="101" spans="3:44" ht="6" customHeight="1"/>
    <row r="102" spans="3:44" ht="6" customHeight="1"/>
    <row r="103" spans="3:44" ht="6" customHeight="1"/>
    <row r="104" spans="3:44" ht="6" customHeight="1"/>
    <row r="105" spans="3:44" ht="6" customHeight="1"/>
    <row r="106" spans="3:44" ht="6" customHeight="1"/>
    <row r="107" spans="3:44" ht="6" customHeight="1"/>
    <row r="108" spans="3:44" ht="6" customHeight="1"/>
    <row r="109" spans="3:44" ht="6" customHeight="1"/>
    <row r="110" spans="3:44" ht="6" customHeight="1"/>
    <row r="211" spans="1:3" hidden="1">
      <c r="A211" t="s">
        <v>58</v>
      </c>
      <c r="B211">
        <f>SUMPRODUCT((IncidentsTable[_Month]="January")*(IncidentsTable[_Year]=IF(ISNUMBER($C$7),$C$7,2024))*IF($P$7="All",1,(IncidentsTable[Department]=$P$7))*IF($V$7="All",1,(IncidentsTable[Location]=$V$7)))</f>
        <v>0</v>
      </c>
      <c r="C211">
        <f>SUMPRODUCT((IncidentsTable[_Month]="January")*(IncidentsTable[_Year]=IF(ISNUMBER($C$7),MAX(2022,$C$7-1),2023))*IF($P$7="All",1,(IncidentsTable[Department]=$P$7))*IF($V$7="All",1,(IncidentsTable[Location]=$V$7)))</f>
        <v>0</v>
      </c>
    </row>
    <row r="212" spans="1:3" hidden="1">
      <c r="A212" t="s">
        <v>59</v>
      </c>
      <c r="B212">
        <f>SUMPRODUCT((IncidentsTable[_Month]="February")*(IncidentsTable[_Year]=IF(ISNUMBER($C$7),$C$7,2024))*IF($P$7="All",1,(IncidentsTable[Department]=$P$7))*IF($V$7="All",1,(IncidentsTable[Location]=$V$7)))</f>
        <v>0</v>
      </c>
      <c r="C212">
        <f>SUMPRODUCT((IncidentsTable[_Month]="February")*(IncidentsTable[_Year]=IF(ISNUMBER($C$7),MAX(2022,$C$7-1),2023))*IF($P$7="All",1,(IncidentsTable[Department]=$P$7))*IF($V$7="All",1,(IncidentsTable[Location]=$V$7)))</f>
        <v>0</v>
      </c>
    </row>
    <row r="213" spans="1:3" hidden="1">
      <c r="A213" t="s">
        <v>60</v>
      </c>
      <c r="B213">
        <f>SUMPRODUCT((IncidentsTable[_Month]="March")*(IncidentsTable[_Year]=IF(ISNUMBER($C$7),$C$7,2024))*IF($P$7="All",1,(IncidentsTable[Department]=$P$7))*IF($V$7="All",1,(IncidentsTable[Location]=$V$7)))</f>
        <v>0</v>
      </c>
      <c r="C213">
        <f>SUMPRODUCT((IncidentsTable[_Month]="March")*(IncidentsTable[_Year]=IF(ISNUMBER($C$7),MAX(2022,$C$7-1),2023))*IF($P$7="All",1,(IncidentsTable[Department]=$P$7))*IF($V$7="All",1,(IncidentsTable[Location]=$V$7)))</f>
        <v>0</v>
      </c>
    </row>
    <row r="214" spans="1:3" hidden="1">
      <c r="A214" t="s">
        <v>61</v>
      </c>
      <c r="B214">
        <f>SUMPRODUCT((IncidentsTable[_Month]="April")*(IncidentsTable[_Year]=IF(ISNUMBER($C$7),$C$7,2024))*IF($P$7="All",1,(IncidentsTable[Department]=$P$7))*IF($V$7="All",1,(IncidentsTable[Location]=$V$7)))</f>
        <v>0</v>
      </c>
      <c r="C214">
        <f>SUMPRODUCT((IncidentsTable[_Month]="April")*(IncidentsTable[_Year]=IF(ISNUMBER($C$7),MAX(2022,$C$7-1),2023))*IF($P$7="All",1,(IncidentsTable[Department]=$P$7))*IF($V$7="All",1,(IncidentsTable[Location]=$V$7)))</f>
        <v>0</v>
      </c>
    </row>
    <row r="215" spans="1:3" hidden="1">
      <c r="A215" t="s">
        <v>62</v>
      </c>
      <c r="B215">
        <f>SUMPRODUCT((IncidentsTable[_Month]="May")*(IncidentsTable[_Year]=IF(ISNUMBER($C$7),$C$7,2024))*IF($P$7="All",1,(IncidentsTable[Department]=$P$7))*IF($V$7="All",1,(IncidentsTable[Location]=$V$7)))</f>
        <v>0</v>
      </c>
      <c r="C215">
        <f>SUMPRODUCT((IncidentsTable[_Month]="May")*(IncidentsTable[_Year]=IF(ISNUMBER($C$7),MAX(2022,$C$7-1),2023))*IF($P$7="All",1,(IncidentsTable[Department]=$P$7))*IF($V$7="All",1,(IncidentsTable[Location]=$V$7)))</f>
        <v>0</v>
      </c>
    </row>
    <row r="216" spans="1:3" hidden="1">
      <c r="A216" t="s">
        <v>63</v>
      </c>
      <c r="B216">
        <f>SUMPRODUCT((IncidentsTable[_Month]="June")*(IncidentsTable[_Year]=IF(ISNUMBER($C$7),$C$7,2024))*IF($P$7="All",1,(IncidentsTable[Department]=$P$7))*IF($V$7="All",1,(IncidentsTable[Location]=$V$7)))</f>
        <v>0</v>
      </c>
      <c r="C216">
        <f>SUMPRODUCT((IncidentsTable[_Month]="June")*(IncidentsTable[_Year]=IF(ISNUMBER($C$7),MAX(2022,$C$7-1),2023))*IF($P$7="All",1,(IncidentsTable[Department]=$P$7))*IF($V$7="All",1,(IncidentsTable[Location]=$V$7)))</f>
        <v>0</v>
      </c>
    </row>
    <row r="217" spans="1:3" hidden="1">
      <c r="A217" t="s">
        <v>64</v>
      </c>
      <c r="B217">
        <f>SUMPRODUCT((IncidentsTable[_Month]="July")*(IncidentsTable[_Year]=IF(ISNUMBER($C$7),$C$7,2024))*IF($P$7="All",1,(IncidentsTable[Department]=$P$7))*IF($V$7="All",1,(IncidentsTable[Location]=$V$7)))</f>
        <v>0</v>
      </c>
      <c r="C217">
        <f>SUMPRODUCT((IncidentsTable[_Month]="July")*(IncidentsTable[_Year]=IF(ISNUMBER($C$7),MAX(2022,$C$7-1),2023))*IF($P$7="All",1,(IncidentsTable[Department]=$P$7))*IF($V$7="All",1,(IncidentsTable[Location]=$V$7)))</f>
        <v>0</v>
      </c>
    </row>
    <row r="218" spans="1:3" hidden="1">
      <c r="A218" t="s">
        <v>65</v>
      </c>
      <c r="B218">
        <f>SUMPRODUCT((IncidentsTable[_Month]="August")*(IncidentsTable[_Year]=IF(ISNUMBER($C$7),$C$7,2024))*IF($P$7="All",1,(IncidentsTable[Department]=$P$7))*IF($V$7="All",1,(IncidentsTable[Location]=$V$7)))</f>
        <v>0</v>
      </c>
      <c r="C218">
        <f>SUMPRODUCT((IncidentsTable[_Month]="August")*(IncidentsTable[_Year]=IF(ISNUMBER($C$7),MAX(2022,$C$7-1),2023))*IF($P$7="All",1,(IncidentsTable[Department]=$P$7))*IF($V$7="All",1,(IncidentsTable[Location]=$V$7)))</f>
        <v>0</v>
      </c>
    </row>
    <row r="219" spans="1:3" hidden="1">
      <c r="A219" t="s">
        <v>66</v>
      </c>
      <c r="B219">
        <f>SUMPRODUCT((IncidentsTable[_Month]="September")*(IncidentsTable[_Year]=IF(ISNUMBER($C$7),$C$7,2024))*IF($P$7="All",1,(IncidentsTable[Department]=$P$7))*IF($V$7="All",1,(IncidentsTable[Location]=$V$7)))</f>
        <v>0</v>
      </c>
      <c r="C219">
        <f>SUMPRODUCT((IncidentsTable[_Month]="September")*(IncidentsTable[_Year]=IF(ISNUMBER($C$7),MAX(2022,$C$7-1),2023))*IF($P$7="All",1,(IncidentsTable[Department]=$P$7))*IF($V$7="All",1,(IncidentsTable[Location]=$V$7)))</f>
        <v>0</v>
      </c>
    </row>
    <row r="220" spans="1:3" hidden="1">
      <c r="A220" t="s">
        <v>67</v>
      </c>
      <c r="B220">
        <f>SUMPRODUCT((IncidentsTable[_Month]="October")*(IncidentsTable[_Year]=IF(ISNUMBER($C$7),$C$7,2024))*IF($P$7="All",1,(IncidentsTable[Department]=$P$7))*IF($V$7="All",1,(IncidentsTable[Location]=$V$7)))</f>
        <v>0</v>
      </c>
      <c r="C220">
        <f>SUMPRODUCT((IncidentsTable[_Month]="October")*(IncidentsTable[_Year]=IF(ISNUMBER($C$7),MAX(2022,$C$7-1),2023))*IF($P$7="All",1,(IncidentsTable[Department]=$P$7))*IF($V$7="All",1,(IncidentsTable[Location]=$V$7)))</f>
        <v>0</v>
      </c>
    </row>
    <row r="221" spans="1:3" hidden="1">
      <c r="A221" t="s">
        <v>68</v>
      </c>
      <c r="B221">
        <f>SUMPRODUCT((IncidentsTable[_Month]="November")*(IncidentsTable[_Year]=IF(ISNUMBER($C$7),$C$7,2024))*IF($P$7="All",1,(IncidentsTable[Department]=$P$7))*IF($V$7="All",1,(IncidentsTable[Location]=$V$7)))</f>
        <v>0</v>
      </c>
      <c r="C221">
        <f>SUMPRODUCT((IncidentsTable[_Month]="November")*(IncidentsTable[_Year]=IF(ISNUMBER($C$7),MAX(2022,$C$7-1),2023))*IF($P$7="All",1,(IncidentsTable[Department]=$P$7))*IF($V$7="All",1,(IncidentsTable[Location]=$V$7)))</f>
        <v>0</v>
      </c>
    </row>
    <row r="222" spans="1:3" hidden="1">
      <c r="A222" t="s">
        <v>69</v>
      </c>
      <c r="B222">
        <f>SUMPRODUCT((IncidentsTable[_Month]="December")*(IncidentsTable[_Year]=IF(ISNUMBER($C$7),$C$7,2024))*IF($P$7="All",1,(IncidentsTable[Department]=$P$7))*IF($V$7="All",1,(IncidentsTable[Location]=$V$7)))</f>
        <v>0</v>
      </c>
      <c r="C222">
        <f>SUMPRODUCT((IncidentsTable[_Month]="December")*(IncidentsTable[_Year]=IF(ISNUMBER($C$7),MAX(2022,$C$7-1),2023))*IF($P$7="All",1,(IncidentsTable[Department]=$P$7))*IF($V$7="All",1,(IncidentsTable[Location]=$V$7)))</f>
        <v>0</v>
      </c>
    </row>
    <row r="223" spans="1:3" hidden="1">
      <c r="A223" t="s">
        <v>21</v>
      </c>
      <c r="B223">
        <f>SUMPRODUCT((IncidentsTable[Type]="Near Miss")*IF($C$7="All",1,(IncidentsTable[_Year]=IF(ISNUMBER($C$7),$C$7,VALUE($C$7))))*IF($I$7="All",1,(IncidentsTable[_Month]=$I$7))*IF($P$7="All",1,(IncidentsTable[Department]=$P$7))*IF($V$7="All",1,(IncidentsTable[Location]=$V$7)))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4" spans="1:3" hidden="1">
      <c r="A224" t="s">
        <v>22</v>
      </c>
      <c r="B224">
        <f>SUMPRODUCT((IncidentsTable[Type]="First Aid")*IF($C$7="All",1,(IncidentsTable[_Year]=IF(ISNUMBER($C$7),$C$7,VALUE($C$7))))*IF($I$7="All",1,(IncidentsTable[_Month]=$I$7))*IF($P$7="All",1,(IncidentsTable[Department]=$P$7))*IF($V$7="All",1,(IncidentsTable[Location]=$V$7)))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5" spans="1:2" hidden="1">
      <c r="A225" t="s">
        <v>23</v>
      </c>
      <c r="B225">
        <f>SUMPRODUCT((IncidentsTable[Type]="Medical Treatment")*IF($C$7="All",1,(IncidentsTable[_Year]=IF(ISNUMBER($C$7),$C$7,VALUE($C$7))))*IF($I$7="All",1,(IncidentsTable[_Month]=$I$7))*IF($P$7="All",1,(IncidentsTable[Department]=$P$7))*IF($V$7="All",1,(IncidentsTable[Location]=$V$7)))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6" spans="1:2" hidden="1">
      <c r="A226" t="s">
        <v>24</v>
      </c>
      <c r="B226">
        <f>SUMPRODUCT((IncidentsTable[Type]="Recordable")*IF($C$7="All",1,(IncidentsTable[_Year]=IF(ISNUMBER($C$7),$C$7,VALUE($C$7))))*IF($I$7="All",1,(IncidentsTable[_Month]=$I$7))*IF($P$7="All",1,(IncidentsTable[Department]=$P$7))*IF($V$7="All",1,(IncidentsTable[Location]=$V$7)))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7" spans="1:2" hidden="1">
      <c r="A227" t="s">
        <v>25</v>
      </c>
      <c r="B227">
        <f>SUMPRODUCT((IncidentsTable[Type]="Lost Time Injury")*IF($C$7="All",1,(IncidentsTable[_Year]=IF(ISNUMBER($C$7),$C$7,VALUE($C$7))))*IF($I$7="All",1,(IncidentsTable[_Month]=$I$7))*IF($P$7="All",1,(IncidentsTable[Department]=$P$7))*IF($V$7="All",1,(IncidentsTable[Location]=$V$7)))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8" spans="1:2" hidden="1">
      <c r="A228" t="s">
        <v>26</v>
      </c>
      <c r="B228">
        <f>SUMPRODUCT((IncidentsTable[Type]="Property Damage")*IF($C$7="All",1,(IncidentsTable[_Year]=IF(ISNUMBER($C$7),$C$7,VALUE($C$7))))*IF($I$7="All",1,(IncidentsTable[_Month]=$I$7))*IF($P$7="All",1,(IncidentsTable[Department]=$P$7))*IF($V$7="All",1,(IncidentsTable[Location]=$V$7)))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29" spans="1:2" hidden="1">
      <c r="A229" t="s">
        <v>28</v>
      </c>
      <c r="B229">
        <f>SUMPRODUCT((IncidentsTable[Type]="Environmental")*IF($C$7="All",1,(IncidentsTable[_Year]=IF(ISNUMBER($C$7),$C$7,VALUE($C$7))))*IF($I$7="All",1,(IncidentsTable[_Month]=$I$7))*IF($P$7="All",1,(IncidentsTable[Department]=$P$7))*IF($V$7="All",1,(IncidentsTable[Location]=$V$7)))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0" spans="1:2" hidden="1">
      <c r="A230" t="s">
        <v>27</v>
      </c>
      <c r="B230">
        <f>SUMPRODUCT((IncidentsTable[Type]="Fatality")*IF($C$7="All",1,(IncidentsTable[_Year]=IF(ISNUMBER($C$7),$C$7,VALUE($C$7))))*IF($I$7="All",1,(IncidentsTable[_Month]=$I$7))*IF($P$7="All",1,(IncidentsTable[Department]=$P$7))*IF($V$7="All",1,(IncidentsTable[Location]=$V$7)))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1" spans="1:2" hidden="1">
      <c r="A231" t="s">
        <v>12</v>
      </c>
      <c r="B231">
        <f>SUMPRODUCT((IncidentsTable[Location]="Warehouse")*IF($C$7="All",1,(IncidentsTable[_Year]=IF(ISNUMBER($C$7),$C$7,VALUE($C$7))))*IF($I$7="All",1,(IncidentsTable[_Month]=$I$7))*IF($P$7="All",1,(IncidentsTable[Department]=$P$7))*IF($V$7="All",1,(IncidentsTable[Location]=$V$7)))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2" spans="1:2" hidden="1">
      <c r="A232" t="s">
        <v>13</v>
      </c>
      <c r="B232">
        <f>SUMPRODUCT((IncidentsTable[Location]="Production Floor")*IF($C$7="All",1,(IncidentsTable[_Year]=IF(ISNUMBER($C$7),$C$7,VALUE($C$7))))*IF($I$7="All",1,(IncidentsTable[_Month]=$I$7))*IF($P$7="All",1,(IncidentsTable[Department]=$P$7))*IF($V$7="All",1,(IncidentsTable[Location]=$V$7)))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3" spans="1:2" hidden="1">
      <c r="A233" t="s">
        <v>14</v>
      </c>
      <c r="B233">
        <f>SUMPRODUCT((IncidentsTable[Location]="Office")*IF($C$7="All",1,(IncidentsTable[_Year]=IF(ISNUMBER($C$7),$C$7,VALUE($C$7))))*IF($I$7="All",1,(IncidentsTable[_Month]=$I$7))*IF($P$7="All",1,(IncidentsTable[Department]=$P$7))*IF($V$7="All",1,(IncidentsTable[Location]=$V$7)))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4" spans="1:2" hidden="1">
      <c r="A234" t="s">
        <v>15</v>
      </c>
      <c r="B234">
        <f>SUMPRODUCT((IncidentsTable[Location]="Workshop")*IF($C$7="All",1,(IncidentsTable[_Year]=IF(ISNUMBER($C$7),$C$7,VALUE($C$7))))*IF($I$7="All",1,(IncidentsTable[_Month]=$I$7))*IF($P$7="All",1,(IncidentsTable[Department]=$P$7))*IF($V$7="All",1,(IncidentsTable[Location]=$V$7)))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5" spans="1:2" hidden="1">
      <c r="A235" t="s">
        <v>16</v>
      </c>
      <c r="B235">
        <f>SUMPRODUCT((IncidentsTable[Location]="Laboratory")*IF($C$7="All",1,(IncidentsTable[_Year]=IF(ISNUMBER($C$7),$C$7,VALUE($C$7))))*IF($I$7="All",1,(IncidentsTable[_Month]=$I$7))*IF($P$7="All",1,(IncidentsTable[Department]=$P$7))*IF($V$7="All",1,(IncidentsTable[Location]=$V$7)))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6" spans="1:2" hidden="1">
      <c r="A236" t="s">
        <v>17</v>
      </c>
      <c r="B236">
        <f>SUMPRODUCT((IncidentsTable[Location]="Yard")*IF($C$7="All",1,(IncidentsTable[_Year]=IF(ISNUMBER($C$7),$C$7,VALUE($C$7))))*IF($I$7="All",1,(IncidentsTable[_Month]=$I$7))*IF($P$7="All",1,(IncidentsTable[Department]=$P$7))*IF($V$7="All",1,(IncidentsTable[Location]=$V$7)))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7" spans="1:2" hidden="1">
      <c r="A237" t="s">
        <v>18</v>
      </c>
      <c r="B237">
        <f>SUMPRODUCT((IncidentsTable[Location]="Site A")*IF($C$7="All",1,(IncidentsTable[_Year]=IF(ISNUMBER($C$7),$C$7,VALUE($C$7))))*IF($I$7="All",1,(IncidentsTable[_Month]=$I$7))*IF($P$7="All",1,(IncidentsTable[Department]=$P$7))*IF($V$7="All",1,(IncidentsTable[Location]=$V$7)))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8" spans="1:2" hidden="1">
      <c r="A238" t="s">
        <v>19</v>
      </c>
      <c r="B238">
        <f>SUMPRODUCT((IncidentsTable[Location]="Site B")*IF($C$7="All",1,(IncidentsTable[_Year]=IF(ISNUMBER($C$7),$C$7,VALUE($C$7))))*IF($I$7="All",1,(IncidentsTable[_Month]=$I$7))*IF($P$7="All",1,(IncidentsTable[Department]=$P$7))*IF($V$7="All",1,(IncidentsTable[Location]=$V$7)))</f>
        <v>0</v>
      </c>
    </row>
    <row r="239" spans="1:2" hidden="1"/>
    <row r="240" spans="1:2" hidden="1"/>
    <row r="241" spans="1:2" hidden="1">
      <c r="A241" t="s">
        <v>58</v>
      </c>
      <c r="B241">
        <f>IFERROR(AVERAGEIFS(InspectionsTable[Score %],InspectionsTable[_Month],"January",InspectionsTable[Department],IF($P$7="All",InspectionsTable[Department],$P$7)),"")</f>
        <v>0</v>
      </c>
    </row>
    <row r="242" spans="1:2" hidden="1">
      <c r="A242" t="s">
        <v>59</v>
      </c>
      <c r="B242">
        <f>IFERROR(AVERAGEIFS(InspectionsTable[Score %],InspectionsTable[_Month],"February",InspectionsTable[Department],IF($P$7="All",InspectionsTable[Department],$P$7)),"")</f>
        <v>0</v>
      </c>
    </row>
    <row r="243" spans="1:2" hidden="1">
      <c r="A243" t="s">
        <v>60</v>
      </c>
      <c r="B243">
        <f>IFERROR(AVERAGEIFS(InspectionsTable[Score %],InspectionsTable[_Month],"March",InspectionsTable[Department],IF($P$7="All",InspectionsTable[Department],$P$7)),"")</f>
        <v>0</v>
      </c>
    </row>
    <row r="244" spans="1:2" hidden="1">
      <c r="A244" t="s">
        <v>61</v>
      </c>
      <c r="B244">
        <f>IFERROR(AVERAGEIFS(InspectionsTable[Score %],InspectionsTable[_Month],"April",InspectionsTable[Department],IF($P$7="All",InspectionsTable[Department],$P$7)),"")</f>
        <v>0</v>
      </c>
    </row>
    <row r="245" spans="1:2" hidden="1">
      <c r="A245" t="s">
        <v>62</v>
      </c>
      <c r="B245">
        <f>IFERROR(AVERAGEIFS(InspectionsTable[Score %],InspectionsTable[_Month],"May",InspectionsTable[Department],IF($P$7="All",InspectionsTable[Department],$P$7)),"")</f>
        <v>0</v>
      </c>
    </row>
    <row r="246" spans="1:2" hidden="1">
      <c r="A246" t="s">
        <v>63</v>
      </c>
      <c r="B246">
        <f>IFERROR(AVERAGEIFS(InspectionsTable[Score %],InspectionsTable[_Month],"June",InspectionsTable[Department],IF($P$7="All",InspectionsTable[Department],$P$7)),"")</f>
        <v>0</v>
      </c>
    </row>
    <row r="247" spans="1:2" hidden="1">
      <c r="A247" t="s">
        <v>64</v>
      </c>
      <c r="B247">
        <f>IFERROR(AVERAGEIFS(InspectionsTable[Score %],InspectionsTable[_Month],"July",InspectionsTable[Department],IF($P$7="All",InspectionsTable[Department],$P$7)),"")</f>
        <v>0</v>
      </c>
    </row>
    <row r="248" spans="1:2" hidden="1">
      <c r="A248" t="s">
        <v>65</v>
      </c>
      <c r="B248">
        <f>IFERROR(AVERAGEIFS(InspectionsTable[Score %],InspectionsTable[_Month],"August",InspectionsTable[Department],IF($P$7="All",InspectionsTable[Department],$P$7)),"")</f>
        <v>0</v>
      </c>
    </row>
    <row r="249" spans="1:2" hidden="1">
      <c r="A249" t="s">
        <v>66</v>
      </c>
      <c r="B249">
        <f>IFERROR(AVERAGEIFS(InspectionsTable[Score %],InspectionsTable[_Month],"September",InspectionsTable[Department],IF($P$7="All",InspectionsTable[Department],$P$7)),"")</f>
        <v>0</v>
      </c>
    </row>
    <row r="250" spans="1:2" hidden="1">
      <c r="A250" t="s">
        <v>67</v>
      </c>
      <c r="B250">
        <f>IFERROR(AVERAGEIFS(InspectionsTable[Score %],InspectionsTable[_Month],"October",InspectionsTable[Department],IF($P$7="All",InspectionsTable[Department],$P$7)),"")</f>
        <v>0</v>
      </c>
    </row>
    <row r="251" spans="1:2" hidden="1">
      <c r="A251" t="s">
        <v>68</v>
      </c>
      <c r="B251">
        <f>IFERROR(AVERAGEIFS(InspectionsTable[Score %],InspectionsTable[_Month],"November",InspectionsTable[Department],IF($P$7="All",InspectionsTable[Department],$P$7)),"")</f>
        <v>0</v>
      </c>
    </row>
    <row r="252" spans="1:2" hidden="1">
      <c r="A252" t="s">
        <v>69</v>
      </c>
      <c r="B252">
        <f>IFERROR(AVERAGEIFS(InspectionsTable[Score %],InspectionsTable[_Month],"December",InspectionsTable[Department],IF($P$7="All",InspectionsTable[Department],$P$7)),"")</f>
        <v>0</v>
      </c>
    </row>
    <row r="253" spans="1:2" hidden="1"/>
    <row r="254" spans="1:2" hidden="1">
      <c r="A254" t="s">
        <v>244</v>
      </c>
      <c r="B254">
        <f>SUMPRODUCT((TrainingTable[Auto-Status]="Complete")*IF($P$7="All",1,(TrainingTable[Department]=$P$7)))</f>
        <v>0</v>
      </c>
    </row>
    <row r="255" spans="1:2" hidden="1">
      <c r="A255" t="s">
        <v>172</v>
      </c>
      <c r="B255">
        <f>SUMPRODUCT((TrainingTable[Auto-Status]="Pending")*IF($P$7="All",1,(TrainingTable[Department]=$P$7)))</f>
        <v>0</v>
      </c>
    </row>
    <row r="256" spans="1:2" hidden="1">
      <c r="A256" t="s">
        <v>40</v>
      </c>
      <c r="B256">
        <f>SUMPRODUCT((TrainingTable[Auto-Status]="Overdue")*IF($P$7="All",1,(TrainingTable[Department]=$P$7)))</f>
        <v>0</v>
      </c>
    </row>
    <row r="257" spans="1:2" hidden="1"/>
    <row r="258" spans="1:2" hidden="1">
      <c r="A258" t="s">
        <v>39</v>
      </c>
      <c r="B258">
        <f>SUMPRODUCT((ActionsTable[Status]="Done")*IF($P$7="All",1,(ActionsTable[Department]=$P$7)))</f>
        <v>0</v>
      </c>
    </row>
    <row r="259" spans="1:2" hidden="1">
      <c r="A259" t="s">
        <v>38</v>
      </c>
      <c r="B259">
        <f>SUMPRODUCT((ActionsTable[Status]="Closed")*IF($P$7="All",1,(ActionsTable[Department]=$P$7)))</f>
        <v>0</v>
      </c>
    </row>
    <row r="260" spans="1:2" hidden="1">
      <c r="A260" t="s">
        <v>37</v>
      </c>
      <c r="B260">
        <f>SUMPRODUCT((ActionsTable[Status]="In Progress")*IF($P$7="All",1,(ActionsTable[Department]=$P$7)))</f>
        <v>0</v>
      </c>
    </row>
    <row r="261" spans="1:2" hidden="1">
      <c r="A261" t="s">
        <v>172</v>
      </c>
      <c r="B261">
        <f>SUMPRODUCT((ActionsTable[Status]="Pending")*IF($P$7="All",1,(ActionsTable[Department]=$P$7)))</f>
        <v>0</v>
      </c>
    </row>
    <row r="262" spans="1:2" hidden="1">
      <c r="A262" t="s">
        <v>40</v>
      </c>
      <c r="B262">
        <f>SUMPRODUCT((ActionsTable[Status]="Overdue")*IF($P$7="All",1,(ActionsTable[Department]=$P$7)))</f>
        <v>0</v>
      </c>
    </row>
    <row r="263" spans="1:2" hidden="1"/>
    <row r="264" spans="1:2" hidden="1"/>
    <row r="265" spans="1:2" hidden="1"/>
  </sheetData>
  <sheetProtection sheet="1" scenarios="1"/>
  <mergeCells count="61">
    <mergeCell ref="C1:V4"/>
    <mergeCell ref="W1:AM4"/>
    <mergeCell ref="AN1:AR4"/>
    <mergeCell ref="C5:AR5"/>
    <mergeCell ref="C6:E6"/>
    <mergeCell ref="J6:L6"/>
    <mergeCell ref="Q6:S6"/>
    <mergeCell ref="X6:Z6"/>
    <mergeCell ref="C7:H7"/>
    <mergeCell ref="I7:O7"/>
    <mergeCell ref="P7:U7"/>
    <mergeCell ref="V7:AB7"/>
    <mergeCell ref="D11:E13"/>
    <mergeCell ref="F11:I13"/>
    <mergeCell ref="D14:I15"/>
    <mergeCell ref="D16:I17"/>
    <mergeCell ref="K11:L13"/>
    <mergeCell ref="M11:P13"/>
    <mergeCell ref="K14:P15"/>
    <mergeCell ref="K16:P17"/>
    <mergeCell ref="R11:S13"/>
    <mergeCell ref="T11:W13"/>
    <mergeCell ref="R14:W15"/>
    <mergeCell ref="R16:W17"/>
    <mergeCell ref="Y11:Z13"/>
    <mergeCell ref="AA11:AD13"/>
    <mergeCell ref="Y14:AD15"/>
    <mergeCell ref="Y16:AD17"/>
    <mergeCell ref="AF11:AG13"/>
    <mergeCell ref="AH11:AK13"/>
    <mergeCell ref="AF14:AK15"/>
    <mergeCell ref="AF16:AK17"/>
    <mergeCell ref="AM11:AN13"/>
    <mergeCell ref="AO11:AR13"/>
    <mergeCell ref="AM14:AR15"/>
    <mergeCell ref="AM16:AR17"/>
    <mergeCell ref="C20:N21"/>
    <mergeCell ref="O20:Z21"/>
    <mergeCell ref="AA20:AL21"/>
    <mergeCell ref="C43:N44"/>
    <mergeCell ref="O43:Z44"/>
    <mergeCell ref="AA43:AL44"/>
    <mergeCell ref="C92:I92"/>
    <mergeCell ref="C93:I93"/>
    <mergeCell ref="C94:I95"/>
    <mergeCell ref="J92:P92"/>
    <mergeCell ref="J93:P93"/>
    <mergeCell ref="J94:P95"/>
    <mergeCell ref="Q92:W92"/>
    <mergeCell ref="Q93:W93"/>
    <mergeCell ref="Q94:W95"/>
    <mergeCell ref="X92:AD92"/>
    <mergeCell ref="X93:AD93"/>
    <mergeCell ref="X94:AD95"/>
    <mergeCell ref="AE92:AK92"/>
    <mergeCell ref="AE93:AK93"/>
    <mergeCell ref="AE94:AK95"/>
    <mergeCell ref="AL92:AR92"/>
    <mergeCell ref="AL93:AR93"/>
    <mergeCell ref="AL94:AR95"/>
    <mergeCell ref="C97:AR98"/>
  </mergeCells>
  <conditionalFormatting sqref="AA11:AD13">
    <cfRule type="cellIs" dxfId="3" priority="7" operator="greaterThanOrEqual">
      <formula>90</formula>
    </cfRule>
    <cfRule type="cellIs" dxfId="2" priority="8" operator="greaterThanOrEqual">
      <formula>75</formula>
    </cfRule>
    <cfRule type="cellIs" dxfId="0" priority="9" operator="lessThan">
      <formula>75</formula>
    </cfRule>
  </conditionalFormatting>
  <conditionalFormatting sqref="AO11:AR13">
    <cfRule type="cellIs" dxfId="3" priority="10" operator="lessThanOrEqual">
      <formula>5</formula>
    </cfRule>
    <cfRule type="cellIs" dxfId="2" priority="11" operator="lessThanOrEqual">
      <formula>15</formula>
    </cfRule>
    <cfRule type="cellIs" dxfId="0" priority="12" operator="greaterThan">
      <formula>15</formula>
    </cfRule>
  </conditionalFormatting>
  <conditionalFormatting sqref="F11:I13">
    <cfRule type="cellIs" dxfId="3" priority="1" operator="lessThanOrEqual">
      <formula>5</formula>
    </cfRule>
    <cfRule type="cellIs" dxfId="2" priority="2" operator="lessThanOrEqual">
      <formula>10</formula>
    </cfRule>
    <cfRule type="cellIs" dxfId="0" priority="3" operator="greaterThan">
      <formula>10</formula>
    </cfRule>
  </conditionalFormatting>
  <conditionalFormatting sqref="T11:W13">
    <cfRule type="cellIs" dxfId="3" priority="4" operator="greaterThanOrEqual">
      <formula>95</formula>
    </cfRule>
    <cfRule type="cellIs" dxfId="2" priority="5" operator="greaterThanOrEqual">
      <formula>85</formula>
    </cfRule>
    <cfRule type="cellIs" dxfId="0" priority="6" operator="lessThan">
      <formula>85</formula>
    </cfRule>
  </conditionalFormatting>
  <dataValidations count="4">
    <dataValidation type="list" allowBlank="1" showInputMessage="1" showErrorMessage="1" prompt="Select year or All" sqref="C7">
      <formula1>SETUP!$J$2:$J$7</formula1>
    </dataValidation>
    <dataValidation type="list" allowBlank="1" showInputMessage="1" showErrorMessage="1" prompt="Select month or All" sqref="I7">
      <formula1>SETUP!$K$2:$K$14</formula1>
    </dataValidation>
    <dataValidation type="list" allowBlank="1" showInputMessage="1" showErrorMessage="1" prompt="Select department or All" sqref="P7">
      <formula1>SETUP!$P$2:$P$12</formula1>
    </dataValidation>
    <dataValidation type="list" allowBlank="1" showInputMessage="1" showErrorMessage="1" prompt="Select location or All" sqref="V7">
      <formula1>SETUP!$Q$2:$Q$10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showGridLines="0" zoomScale="90" zoomScaleNormal="90" workbookViewId="0"/>
  </sheetViews>
  <sheetFormatPr defaultRowHeight="15"/>
  <cols>
    <col min="1" max="1" width="28.7109375" customWidth="1"/>
    <col min="2" max="2" width="70.7109375" customWidth="1"/>
  </cols>
  <sheetData>
    <row r="1" spans="1:2" ht="20" customHeight="1">
      <c r="A1" s="41" t="s">
        <v>263</v>
      </c>
      <c r="B1" s="41"/>
    </row>
    <row r="2" spans="1:2" ht="20" customHeight="1">
      <c r="A2" s="41"/>
      <c r="B2" s="41"/>
    </row>
    <row r="3" spans="1:2" ht="20" customHeight="1">
      <c r="A3" s="41"/>
      <c r="B3" s="41"/>
    </row>
    <row r="5" spans="1:2" ht="50" customHeight="1">
      <c r="A5" s="42" t="s">
        <v>264</v>
      </c>
      <c r="B5" s="43" t="s">
        <v>265</v>
      </c>
    </row>
    <row r="6" spans="1:2" ht="50" customHeight="1">
      <c r="A6" s="44" t="s">
        <v>266</v>
      </c>
      <c r="B6" s="45" t="s">
        <v>267</v>
      </c>
    </row>
    <row r="7" spans="1:2" ht="50" customHeight="1">
      <c r="A7" s="42" t="s">
        <v>268</v>
      </c>
      <c r="B7" s="43" t="s">
        <v>269</v>
      </c>
    </row>
    <row r="8" spans="1:2" ht="50" customHeight="1">
      <c r="A8" s="44" t="s">
        <v>270</v>
      </c>
      <c r="B8" s="45" t="s">
        <v>271</v>
      </c>
    </row>
    <row r="9" spans="1:2" ht="50" customHeight="1">
      <c r="A9" s="42" t="s">
        <v>272</v>
      </c>
      <c r="B9" s="43" t="s">
        <v>273</v>
      </c>
    </row>
    <row r="10" spans="1:2" ht="50" customHeight="1">
      <c r="A10" s="44" t="s">
        <v>274</v>
      </c>
      <c r="B10" s="45" t="s">
        <v>275</v>
      </c>
    </row>
    <row r="11" spans="1:2" ht="50" customHeight="1">
      <c r="A11" s="42" t="s">
        <v>276</v>
      </c>
      <c r="B11" s="43" t="s">
        <v>277</v>
      </c>
    </row>
    <row r="12" spans="1:2" ht="50" customHeight="1">
      <c r="A12" s="44" t="s">
        <v>278</v>
      </c>
      <c r="B12" s="45" t="s">
        <v>279</v>
      </c>
    </row>
    <row r="13" spans="1:2" ht="50" customHeight="1">
      <c r="A13" s="42" t="s">
        <v>280</v>
      </c>
      <c r="B13" s="43" t="s">
        <v>281</v>
      </c>
    </row>
    <row r="14" spans="1:2" ht="50" customHeight="1">
      <c r="A14" s="44" t="s">
        <v>282</v>
      </c>
      <c r="B14" s="45" t="s">
        <v>283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SETUP</vt:lpstr>
      <vt:lpstr>🚨 INCIDENTS</vt:lpstr>
      <vt:lpstr>🔍 INSPECTIONS</vt:lpstr>
      <vt:lpstr>📚 TRAINING</vt:lpstr>
      <vt:lpstr>⚡ ACTIONS</vt:lpstr>
      <vt:lpstr>⚠ RISK REGISTER</vt:lpstr>
      <vt:lpstr>🌿 ENVIRONMENT</vt:lpstr>
      <vt:lpstr>📊 DASHBOARD</vt:lpstr>
      <vt:lpstr>📌 INSTRUCTIONS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2026-06-06T15:37:17Z</dcterms:created>
  <dcterms:modified xsi:type="dcterms:W3CDTF">2026-06-06T15:37:17Z</dcterms:modified>
</cp:coreProperties>
</file>